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ostafalutfi/Documents/Hexapod_Actuator_Redesign/Hexapod Actuator Redesign Verification/Unmodified Actuator Results/Back Drive Test/"/>
    </mc:Choice>
  </mc:AlternateContent>
  <xr:revisionPtr revIDLastSave="0" documentId="13_ncr:1_{D22B3C03-EE52-5942-8FE6-34D3BC3E781F}" xr6:coauthVersionLast="47" xr6:coauthVersionMax="47" xr10:uidLastSave="{00000000-0000-0000-0000-000000000000}"/>
  <bookViews>
    <workbookView xWindow="-38400" yWindow="0" windowWidth="38400" windowHeight="21600" xr2:uid="{00000000-000D-0000-FFFF-FFFF00000000}"/>
  </bookViews>
  <sheets>
    <sheet name="Compression (0-38 KN)" sheetId="2" r:id="rId1"/>
    <sheet name="Compression (38 kN)" sheetId="1" r:id="rId2"/>
    <sheet name="Tension (0-38 KN)" sheetId="3" r:id="rId3"/>
    <sheet name="Tension (38 KN)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" i="4" l="1"/>
  <c r="I101" i="4" s="1"/>
  <c r="G100" i="4"/>
  <c r="G99" i="4"/>
  <c r="I99" i="4" s="1"/>
  <c r="G98" i="4"/>
  <c r="G97" i="4"/>
  <c r="I97" i="4" s="1"/>
  <c r="I96" i="4"/>
  <c r="G96" i="4"/>
  <c r="G95" i="4"/>
  <c r="G94" i="4"/>
  <c r="I94" i="4" s="1"/>
  <c r="I93" i="4"/>
  <c r="G93" i="4"/>
  <c r="G92" i="4"/>
  <c r="I92" i="4" s="1"/>
  <c r="G91" i="4"/>
  <c r="I91" i="4" s="1"/>
  <c r="G90" i="4"/>
  <c r="G89" i="4"/>
  <c r="I89" i="4" s="1"/>
  <c r="I88" i="4"/>
  <c r="G88" i="4"/>
  <c r="G87" i="4"/>
  <c r="G86" i="4"/>
  <c r="I86" i="4" s="1"/>
  <c r="I85" i="4"/>
  <c r="G85" i="4"/>
  <c r="G84" i="4"/>
  <c r="I84" i="4" s="1"/>
  <c r="G83" i="4"/>
  <c r="I83" i="4" s="1"/>
  <c r="G82" i="4"/>
  <c r="G81" i="4"/>
  <c r="I81" i="4" s="1"/>
  <c r="I80" i="4"/>
  <c r="G80" i="4"/>
  <c r="G79" i="4"/>
  <c r="G78" i="4"/>
  <c r="I78" i="4" s="1"/>
  <c r="I77" i="4"/>
  <c r="G77" i="4"/>
  <c r="G76" i="4"/>
  <c r="I76" i="4" s="1"/>
  <c r="G75" i="4"/>
  <c r="I75" i="4" s="1"/>
  <c r="G74" i="4"/>
  <c r="G73" i="4"/>
  <c r="I73" i="4" s="1"/>
  <c r="I72" i="4"/>
  <c r="G72" i="4"/>
  <c r="G71" i="4"/>
  <c r="G70" i="4"/>
  <c r="I70" i="4" s="1"/>
  <c r="I69" i="4"/>
  <c r="G69" i="4"/>
  <c r="G68" i="4"/>
  <c r="I68" i="4" s="1"/>
  <c r="G67" i="4"/>
  <c r="I67" i="4" s="1"/>
  <c r="G66" i="4"/>
  <c r="G65" i="4"/>
  <c r="I65" i="4" s="1"/>
  <c r="I64" i="4"/>
  <c r="G64" i="4"/>
  <c r="G63" i="4"/>
  <c r="G62" i="4"/>
  <c r="I62" i="4" s="1"/>
  <c r="I61" i="4"/>
  <c r="G61" i="4"/>
  <c r="G60" i="4"/>
  <c r="I60" i="4" s="1"/>
  <c r="G59" i="4"/>
  <c r="I59" i="4" s="1"/>
  <c r="G58" i="4"/>
  <c r="G57" i="4"/>
  <c r="I57" i="4" s="1"/>
  <c r="I56" i="4"/>
  <c r="G56" i="4"/>
  <c r="G55" i="4"/>
  <c r="G54" i="4"/>
  <c r="I54" i="4" s="1"/>
  <c r="I53" i="4"/>
  <c r="G53" i="4"/>
  <c r="G52" i="4"/>
  <c r="I52" i="4" s="1"/>
  <c r="G51" i="4"/>
  <c r="I51" i="4" s="1"/>
  <c r="G50" i="4"/>
  <c r="G49" i="4"/>
  <c r="I49" i="4" s="1"/>
  <c r="I48" i="4"/>
  <c r="G48" i="4"/>
  <c r="G47" i="4"/>
  <c r="G46" i="4"/>
  <c r="I46" i="4" s="1"/>
  <c r="I45" i="4"/>
  <c r="G45" i="4"/>
  <c r="G44" i="4"/>
  <c r="I44" i="4" s="1"/>
  <c r="G43" i="4"/>
  <c r="I43" i="4" s="1"/>
  <c r="G42" i="4"/>
  <c r="G41" i="4"/>
  <c r="I41" i="4" s="1"/>
  <c r="I40" i="4"/>
  <c r="G40" i="4"/>
  <c r="G39" i="4"/>
  <c r="G38" i="4"/>
  <c r="I38" i="4" s="1"/>
  <c r="I37" i="4"/>
  <c r="G37" i="4"/>
  <c r="G36" i="4"/>
  <c r="I36" i="4" s="1"/>
  <c r="G35" i="4"/>
  <c r="I35" i="4" s="1"/>
  <c r="G34" i="4"/>
  <c r="G33" i="4"/>
  <c r="I33" i="4" s="1"/>
  <c r="I32" i="4"/>
  <c r="G32" i="4"/>
  <c r="G31" i="4"/>
  <c r="G30" i="4"/>
  <c r="I30" i="4" s="1"/>
  <c r="I29" i="4"/>
  <c r="G29" i="4"/>
  <c r="G28" i="4"/>
  <c r="I28" i="4" s="1"/>
  <c r="G27" i="4"/>
  <c r="I27" i="4" s="1"/>
  <c r="G26" i="4"/>
  <c r="G25" i="4"/>
  <c r="I25" i="4" s="1"/>
  <c r="I24" i="4"/>
  <c r="G24" i="4"/>
  <c r="G23" i="4"/>
  <c r="G22" i="4"/>
  <c r="I22" i="4" s="1"/>
  <c r="I21" i="4"/>
  <c r="G21" i="4"/>
  <c r="G20" i="4"/>
  <c r="I20" i="4" s="1"/>
  <c r="G19" i="4"/>
  <c r="I19" i="4" s="1"/>
  <c r="G18" i="4"/>
  <c r="G17" i="4"/>
  <c r="I17" i="4" s="1"/>
  <c r="I16" i="4"/>
  <c r="G16" i="4"/>
  <c r="G15" i="4"/>
  <c r="G14" i="4"/>
  <c r="I14" i="4" s="1"/>
  <c r="I13" i="4"/>
  <c r="G13" i="4"/>
  <c r="G12" i="4"/>
  <c r="I12" i="4" s="1"/>
  <c r="G11" i="4"/>
  <c r="I11" i="4" s="1"/>
  <c r="G10" i="4"/>
  <c r="G9" i="4"/>
  <c r="I9" i="4" s="1"/>
  <c r="I8" i="4"/>
  <c r="G8" i="4"/>
  <c r="G7" i="4"/>
  <c r="G6" i="4"/>
  <c r="I6" i="4" s="1"/>
  <c r="I5" i="4"/>
  <c r="G5" i="4"/>
  <c r="G4" i="4"/>
  <c r="I4" i="4" s="1"/>
  <c r="G3" i="4"/>
  <c r="I3" i="4" s="1"/>
  <c r="G2" i="4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3" i="3"/>
  <c r="H4" i="3"/>
  <c r="H5" i="3"/>
  <c r="H6" i="3"/>
  <c r="H7" i="3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3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2" i="3"/>
  <c r="F122" i="2"/>
  <c r="H122" i="2" s="1"/>
  <c r="H121" i="2"/>
  <c r="F121" i="2"/>
  <c r="F120" i="2"/>
  <c r="F119" i="2"/>
  <c r="H119" i="2" s="1"/>
  <c r="F118" i="2"/>
  <c r="H118" i="2" s="1"/>
  <c r="H117" i="2"/>
  <c r="F117" i="2"/>
  <c r="F116" i="2"/>
  <c r="F115" i="2"/>
  <c r="H115" i="2" s="1"/>
  <c r="F114" i="2"/>
  <c r="H114" i="2" s="1"/>
  <c r="H113" i="2"/>
  <c r="F113" i="2"/>
  <c r="F112" i="2"/>
  <c r="F111" i="2"/>
  <c r="H111" i="2" s="1"/>
  <c r="F110" i="2"/>
  <c r="H110" i="2" s="1"/>
  <c r="H109" i="2"/>
  <c r="F109" i="2"/>
  <c r="F108" i="2"/>
  <c r="F107" i="2"/>
  <c r="H107" i="2" s="1"/>
  <c r="F106" i="2"/>
  <c r="H106" i="2" s="1"/>
  <c r="H105" i="2"/>
  <c r="F105" i="2"/>
  <c r="F104" i="2"/>
  <c r="F103" i="2"/>
  <c r="H103" i="2" s="1"/>
  <c r="F102" i="2"/>
  <c r="H102" i="2" s="1"/>
  <c r="H101" i="2"/>
  <c r="F101" i="2"/>
  <c r="F100" i="2"/>
  <c r="F99" i="2"/>
  <c r="H99" i="2" s="1"/>
  <c r="F98" i="2"/>
  <c r="H98" i="2" s="1"/>
  <c r="H97" i="2"/>
  <c r="F97" i="2"/>
  <c r="F96" i="2"/>
  <c r="F95" i="2"/>
  <c r="H95" i="2" s="1"/>
  <c r="F94" i="2"/>
  <c r="H94" i="2" s="1"/>
  <c r="H93" i="2"/>
  <c r="F93" i="2"/>
  <c r="F92" i="2"/>
  <c r="F91" i="2"/>
  <c r="H91" i="2" s="1"/>
  <c r="F90" i="2"/>
  <c r="H90" i="2" s="1"/>
  <c r="H89" i="2"/>
  <c r="F89" i="2"/>
  <c r="F88" i="2"/>
  <c r="F87" i="2"/>
  <c r="H87" i="2" s="1"/>
  <c r="F86" i="2"/>
  <c r="H86" i="2" s="1"/>
  <c r="H85" i="2"/>
  <c r="F85" i="2"/>
  <c r="F84" i="2"/>
  <c r="F83" i="2"/>
  <c r="H83" i="2" s="1"/>
  <c r="F82" i="2"/>
  <c r="H82" i="2" s="1"/>
  <c r="H81" i="2"/>
  <c r="F81" i="2"/>
  <c r="F80" i="2"/>
  <c r="F79" i="2"/>
  <c r="H79" i="2" s="1"/>
  <c r="F78" i="2"/>
  <c r="H78" i="2" s="1"/>
  <c r="H77" i="2"/>
  <c r="F77" i="2"/>
  <c r="F76" i="2"/>
  <c r="F75" i="2"/>
  <c r="H75" i="2" s="1"/>
  <c r="F74" i="2"/>
  <c r="H74" i="2" s="1"/>
  <c r="H73" i="2"/>
  <c r="F73" i="2"/>
  <c r="F72" i="2"/>
  <c r="F71" i="2"/>
  <c r="H71" i="2" s="1"/>
  <c r="F70" i="2"/>
  <c r="H70" i="2" s="1"/>
  <c r="H69" i="2"/>
  <c r="F69" i="2"/>
  <c r="F68" i="2"/>
  <c r="F67" i="2"/>
  <c r="H67" i="2" s="1"/>
  <c r="F66" i="2"/>
  <c r="H66" i="2" s="1"/>
  <c r="H65" i="2"/>
  <c r="F65" i="2"/>
  <c r="F64" i="2"/>
  <c r="F63" i="2"/>
  <c r="H63" i="2" s="1"/>
  <c r="F62" i="2"/>
  <c r="H62" i="2" s="1"/>
  <c r="H61" i="2"/>
  <c r="F61" i="2"/>
  <c r="F60" i="2"/>
  <c r="F59" i="2"/>
  <c r="H59" i="2" s="1"/>
  <c r="F58" i="2"/>
  <c r="H58" i="2" s="1"/>
  <c r="H57" i="2"/>
  <c r="F57" i="2"/>
  <c r="F56" i="2"/>
  <c r="F55" i="2"/>
  <c r="H55" i="2" s="1"/>
  <c r="F54" i="2"/>
  <c r="H54" i="2" s="1"/>
  <c r="H53" i="2"/>
  <c r="F53" i="2"/>
  <c r="F52" i="2"/>
  <c r="F51" i="2"/>
  <c r="H51" i="2" s="1"/>
  <c r="F50" i="2"/>
  <c r="H50" i="2" s="1"/>
  <c r="H49" i="2"/>
  <c r="F49" i="2"/>
  <c r="F48" i="2"/>
  <c r="F47" i="2"/>
  <c r="H47" i="2" s="1"/>
  <c r="F46" i="2"/>
  <c r="H46" i="2" s="1"/>
  <c r="H45" i="2"/>
  <c r="F45" i="2"/>
  <c r="F44" i="2"/>
  <c r="F43" i="2"/>
  <c r="H43" i="2" s="1"/>
  <c r="F42" i="2"/>
  <c r="H42" i="2" s="1"/>
  <c r="H41" i="2"/>
  <c r="F41" i="2"/>
  <c r="F40" i="2"/>
  <c r="F39" i="2"/>
  <c r="H39" i="2" s="1"/>
  <c r="F38" i="2"/>
  <c r="H38" i="2" s="1"/>
  <c r="H37" i="2"/>
  <c r="F37" i="2"/>
  <c r="F36" i="2"/>
  <c r="F35" i="2"/>
  <c r="H35" i="2" s="1"/>
  <c r="F34" i="2"/>
  <c r="H34" i="2" s="1"/>
  <c r="H33" i="2"/>
  <c r="F33" i="2"/>
  <c r="F32" i="2"/>
  <c r="F31" i="2"/>
  <c r="H31" i="2" s="1"/>
  <c r="F30" i="2"/>
  <c r="H30" i="2" s="1"/>
  <c r="H29" i="2"/>
  <c r="F29" i="2"/>
  <c r="F28" i="2"/>
  <c r="F27" i="2"/>
  <c r="H27" i="2" s="1"/>
  <c r="F26" i="2"/>
  <c r="H26" i="2" s="1"/>
  <c r="H25" i="2"/>
  <c r="F25" i="2"/>
  <c r="F24" i="2"/>
  <c r="F23" i="2"/>
  <c r="H23" i="2" s="1"/>
  <c r="F22" i="2"/>
  <c r="H22" i="2" s="1"/>
  <c r="H21" i="2"/>
  <c r="F21" i="2"/>
  <c r="F20" i="2"/>
  <c r="F19" i="2"/>
  <c r="H19" i="2" s="1"/>
  <c r="F18" i="2"/>
  <c r="H18" i="2" s="1"/>
  <c r="H17" i="2"/>
  <c r="F17" i="2"/>
  <c r="F16" i="2"/>
  <c r="F15" i="2"/>
  <c r="H15" i="2" s="1"/>
  <c r="F14" i="2"/>
  <c r="H14" i="2" s="1"/>
  <c r="H13" i="2"/>
  <c r="F13" i="2"/>
  <c r="F12" i="2"/>
  <c r="F11" i="2"/>
  <c r="H11" i="2" s="1"/>
  <c r="F10" i="2"/>
  <c r="H10" i="2" s="1"/>
  <c r="H9" i="2"/>
  <c r="F9" i="2"/>
  <c r="F8" i="2"/>
  <c r="F7" i="2"/>
  <c r="H7" i="2" s="1"/>
  <c r="F6" i="2"/>
  <c r="H6" i="2" s="1"/>
  <c r="H5" i="2"/>
  <c r="F5" i="2"/>
  <c r="G4" i="2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F4" i="2"/>
  <c r="G3" i="2"/>
  <c r="F3" i="2"/>
  <c r="H3" i="2" s="1"/>
  <c r="F2" i="2"/>
  <c r="H2" i="2" s="1"/>
  <c r="F2" i="1"/>
  <c r="F3" i="1"/>
  <c r="F4" i="1"/>
  <c r="F5" i="1"/>
  <c r="F6" i="1"/>
  <c r="H6" i="1" s="1"/>
  <c r="F7" i="1"/>
  <c r="F8" i="1"/>
  <c r="F9" i="1"/>
  <c r="F10" i="1"/>
  <c r="H10" i="1" s="1"/>
  <c r="F11" i="1"/>
  <c r="F12" i="1"/>
  <c r="F13" i="1"/>
  <c r="F14" i="1"/>
  <c r="H14" i="1" s="1"/>
  <c r="F15" i="1"/>
  <c r="F16" i="1"/>
  <c r="F17" i="1"/>
  <c r="F18" i="1"/>
  <c r="H18" i="1" s="1"/>
  <c r="F19" i="1"/>
  <c r="F20" i="1"/>
  <c r="F21" i="1"/>
  <c r="F22" i="1"/>
  <c r="H22" i="1" s="1"/>
  <c r="F23" i="1"/>
  <c r="F24" i="1"/>
  <c r="F25" i="1"/>
  <c r="F26" i="1"/>
  <c r="H26" i="1" s="1"/>
  <c r="F27" i="1"/>
  <c r="F28" i="1"/>
  <c r="H28" i="1" s="1"/>
  <c r="F29" i="1"/>
  <c r="F30" i="1"/>
  <c r="F31" i="1"/>
  <c r="F32" i="1"/>
  <c r="F33" i="1"/>
  <c r="F34" i="1"/>
  <c r="H34" i="1" s="1"/>
  <c r="F35" i="1"/>
  <c r="F36" i="1"/>
  <c r="H36" i="1" s="1"/>
  <c r="F37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I7" i="4" l="1"/>
  <c r="I15" i="4"/>
  <c r="I23" i="4"/>
  <c r="I31" i="4"/>
  <c r="I39" i="4"/>
  <c r="I47" i="4"/>
  <c r="I55" i="4"/>
  <c r="I63" i="4"/>
  <c r="I71" i="4"/>
  <c r="I79" i="4"/>
  <c r="I87" i="4"/>
  <c r="I95" i="4"/>
  <c r="I10" i="4"/>
  <c r="I18" i="4"/>
  <c r="I26" i="4"/>
  <c r="I34" i="4"/>
  <c r="I42" i="4"/>
  <c r="I50" i="4"/>
  <c r="I58" i="4"/>
  <c r="I66" i="4"/>
  <c r="I74" i="4"/>
  <c r="I82" i="4"/>
  <c r="I90" i="4"/>
  <c r="I98" i="4"/>
  <c r="I100" i="4"/>
  <c r="H20" i="1"/>
  <c r="H12" i="1"/>
  <c r="H30" i="1"/>
  <c r="H4" i="1"/>
  <c r="H37" i="1"/>
  <c r="H33" i="1"/>
  <c r="H29" i="1"/>
  <c r="H25" i="1"/>
  <c r="H21" i="1"/>
  <c r="H17" i="1"/>
  <c r="H13" i="1"/>
  <c r="H9" i="1"/>
  <c r="H5" i="1"/>
  <c r="H32" i="1"/>
  <c r="H24" i="1"/>
  <c r="H16" i="1"/>
  <c r="H8" i="1"/>
  <c r="H31" i="1"/>
  <c r="H23" i="1"/>
  <c r="H15" i="1"/>
  <c r="H7" i="1"/>
  <c r="H35" i="1"/>
  <c r="H27" i="1"/>
  <c r="H19" i="1"/>
  <c r="H11" i="1"/>
  <c r="H3" i="1"/>
  <c r="H4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</calcChain>
</file>

<file path=xl/sharedStrings.xml><?xml version="1.0" encoding="utf-8"?>
<sst xmlns="http://schemas.openxmlformats.org/spreadsheetml/2006/main" count="38" uniqueCount="14">
  <si>
    <t>Time ( Seconds)</t>
  </si>
  <si>
    <t xml:space="preserve">Load A [kN] </t>
  </si>
  <si>
    <t>Time -  Encoder B</t>
  </si>
  <si>
    <t>Position - Encoder A (mm)</t>
  </si>
  <si>
    <t>Position - Encoder B (mm)</t>
  </si>
  <si>
    <t>Time -  Load</t>
  </si>
  <si>
    <t>Average Encoder Position (nm)</t>
  </si>
  <si>
    <t>Displacement [nm]</t>
  </si>
  <si>
    <t>Time -  Encoder A</t>
  </si>
  <si>
    <t>Time - Encoder A</t>
  </si>
  <si>
    <t>Time - Encoder B</t>
  </si>
  <si>
    <t>Time - Load</t>
  </si>
  <si>
    <t>Time (sec)</t>
  </si>
  <si>
    <t>Average Displacement [nm]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</si>
</sst>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7" fontId="0" fillId="0" borderId="0" xfId="0" applyNumberFormat="1"/>
    <xf numFmtId="0" fontId="0" fillId="0" borderId="0" xfId="0" applyAlignment="1">
      <alignment horizontal="center"/>
    </xf>
    <xf numFmtId="47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vs Average Displacement ( Compression Load)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'Compression (0-38 KN)'!$H$1</c:f>
              <c:strCache>
                <c:ptCount val="1"/>
                <c:pt idx="0">
                  <c:v>Displacement [nm]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'Compression (0-38 KN)'!$G$2:$G$122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'Compression (0-38 KN)'!$H$2:$H$122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-50</c:v>
                </c:pt>
                <c:pt idx="27">
                  <c:v>50</c:v>
                </c:pt>
                <c:pt idx="28">
                  <c:v>0</c:v>
                </c:pt>
                <c:pt idx="29">
                  <c:v>0</c:v>
                </c:pt>
                <c:pt idx="30">
                  <c:v>-50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-50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-22750</c:v>
                </c:pt>
                <c:pt idx="75">
                  <c:v>-57300</c:v>
                </c:pt>
                <c:pt idx="76">
                  <c:v>-52200</c:v>
                </c:pt>
                <c:pt idx="77">
                  <c:v>-46100</c:v>
                </c:pt>
                <c:pt idx="78">
                  <c:v>-44400</c:v>
                </c:pt>
                <c:pt idx="79">
                  <c:v>-39300.000000007451</c:v>
                </c:pt>
                <c:pt idx="80">
                  <c:v>-25399.999999985099</c:v>
                </c:pt>
                <c:pt idx="81">
                  <c:v>-5850.0000000149012</c:v>
                </c:pt>
                <c:pt idx="82">
                  <c:v>200.00000000745058</c:v>
                </c:pt>
                <c:pt idx="83">
                  <c:v>100.00000000745058</c:v>
                </c:pt>
                <c:pt idx="84">
                  <c:v>-300.00000000745058</c:v>
                </c:pt>
                <c:pt idx="85">
                  <c:v>50</c:v>
                </c:pt>
                <c:pt idx="86">
                  <c:v>-199.99999999254942</c:v>
                </c:pt>
                <c:pt idx="87">
                  <c:v>50</c:v>
                </c:pt>
                <c:pt idx="88">
                  <c:v>-200.00000000745058</c:v>
                </c:pt>
                <c:pt idx="89">
                  <c:v>-50</c:v>
                </c:pt>
                <c:pt idx="90">
                  <c:v>-50</c:v>
                </c:pt>
                <c:pt idx="91">
                  <c:v>0</c:v>
                </c:pt>
                <c:pt idx="92">
                  <c:v>-99.999999992549419</c:v>
                </c:pt>
                <c:pt idx="93">
                  <c:v>49.999999992549419</c:v>
                </c:pt>
                <c:pt idx="94">
                  <c:v>-49.999999992549419</c:v>
                </c:pt>
                <c:pt idx="95">
                  <c:v>0</c:v>
                </c:pt>
                <c:pt idx="96">
                  <c:v>-99.999999992549419</c:v>
                </c:pt>
                <c:pt idx="97">
                  <c:v>0</c:v>
                </c:pt>
                <c:pt idx="98">
                  <c:v>0</c:v>
                </c:pt>
                <c:pt idx="99">
                  <c:v>-100.00000000745058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-50</c:v>
                </c:pt>
                <c:pt idx="104">
                  <c:v>-50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-100</c:v>
                </c:pt>
                <c:pt idx="109">
                  <c:v>49.999999992549419</c:v>
                </c:pt>
                <c:pt idx="110">
                  <c:v>-49.999999992549419</c:v>
                </c:pt>
                <c:pt idx="111">
                  <c:v>-50</c:v>
                </c:pt>
                <c:pt idx="112">
                  <c:v>50</c:v>
                </c:pt>
                <c:pt idx="113">
                  <c:v>-50</c:v>
                </c:pt>
                <c:pt idx="114">
                  <c:v>50</c:v>
                </c:pt>
                <c:pt idx="115">
                  <c:v>-100</c:v>
                </c:pt>
                <c:pt idx="116">
                  <c:v>0</c:v>
                </c:pt>
                <c:pt idx="117">
                  <c:v>-50.000000007450581</c:v>
                </c:pt>
                <c:pt idx="118">
                  <c:v>0</c:v>
                </c:pt>
                <c:pt idx="119">
                  <c:v>0</c:v>
                </c:pt>
                <c:pt idx="120">
                  <c:v>-50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89-A74F-BC9D-C92E20576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91247"/>
        <c:axId val="687787391"/>
      </c:scatterChart>
      <c:scatterChart>
        <c:scatterStyle val="smoothMarker"/>
        <c:varyColors val="0"/>
        <c:ser>
          <c:idx val="1"/>
          <c:order val="1"/>
          <c:tx>
            <c:strRef>
              <c:f>'Compression (0-38 KN)'!$I$1</c:f>
              <c:strCache>
                <c:ptCount val="1"/>
                <c:pt idx="0">
                  <c:v>Load A [kN]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'Compression (0-38 KN)'!$G$2:$G$122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'Compression (0-38 KN)'!$I$2:$I$122</c:f>
              <c:numCache>
                <c:formatCode>General</c:formatCode>
                <c:ptCount val="121"/>
                <c:pt idx="0">
                  <c:v>0.48532799999999998</c:v>
                </c:pt>
                <c:pt idx="1">
                  <c:v>0.48536899999999999</c:v>
                </c:pt>
                <c:pt idx="2">
                  <c:v>0.48532799999999998</c:v>
                </c:pt>
                <c:pt idx="3">
                  <c:v>0.48510999999999999</c:v>
                </c:pt>
                <c:pt idx="4">
                  <c:v>0.484796</c:v>
                </c:pt>
                <c:pt idx="5">
                  <c:v>0.48491899999999999</c:v>
                </c:pt>
                <c:pt idx="6">
                  <c:v>0.48489199999999999</c:v>
                </c:pt>
                <c:pt idx="7">
                  <c:v>0.48502800000000001</c:v>
                </c:pt>
                <c:pt idx="8">
                  <c:v>0.48506899999999997</c:v>
                </c:pt>
                <c:pt idx="9">
                  <c:v>0.48475600000000002</c:v>
                </c:pt>
                <c:pt idx="10">
                  <c:v>0.48457800000000001</c:v>
                </c:pt>
                <c:pt idx="11">
                  <c:v>0.48476900000000001</c:v>
                </c:pt>
                <c:pt idx="12">
                  <c:v>0.484906</c:v>
                </c:pt>
                <c:pt idx="13">
                  <c:v>0.484537</c:v>
                </c:pt>
                <c:pt idx="14">
                  <c:v>0.48455100000000001</c:v>
                </c:pt>
                <c:pt idx="15">
                  <c:v>0.48460500000000001</c:v>
                </c:pt>
                <c:pt idx="16">
                  <c:v>0.48457800000000001</c:v>
                </c:pt>
                <c:pt idx="17">
                  <c:v>0.48478300000000002</c:v>
                </c:pt>
                <c:pt idx="18">
                  <c:v>0.48483700000000002</c:v>
                </c:pt>
                <c:pt idx="19">
                  <c:v>0.48468699999999998</c:v>
                </c:pt>
                <c:pt idx="20">
                  <c:v>0.48470099999999999</c:v>
                </c:pt>
                <c:pt idx="21">
                  <c:v>0.48444199999999998</c:v>
                </c:pt>
                <c:pt idx="22">
                  <c:v>0.48461900000000002</c:v>
                </c:pt>
                <c:pt idx="23">
                  <c:v>0.48427799999999999</c:v>
                </c:pt>
                <c:pt idx="24">
                  <c:v>0.48433300000000001</c:v>
                </c:pt>
                <c:pt idx="25">
                  <c:v>0.48455100000000001</c:v>
                </c:pt>
                <c:pt idx="26">
                  <c:v>0.48436000000000001</c:v>
                </c:pt>
                <c:pt idx="27">
                  <c:v>0.48423699999999997</c:v>
                </c:pt>
                <c:pt idx="28">
                  <c:v>0.48420999999999997</c:v>
                </c:pt>
                <c:pt idx="29">
                  <c:v>0.48436000000000001</c:v>
                </c:pt>
                <c:pt idx="30">
                  <c:v>0.484265</c:v>
                </c:pt>
                <c:pt idx="31">
                  <c:v>0.48378700000000002</c:v>
                </c:pt>
                <c:pt idx="32">
                  <c:v>0.48396400000000001</c:v>
                </c:pt>
                <c:pt idx="33">
                  <c:v>0.48388300000000001</c:v>
                </c:pt>
                <c:pt idx="34">
                  <c:v>0.48388300000000001</c:v>
                </c:pt>
                <c:pt idx="35">
                  <c:v>0.48382799999999998</c:v>
                </c:pt>
                <c:pt idx="36">
                  <c:v>0.48397800000000002</c:v>
                </c:pt>
                <c:pt idx="37">
                  <c:v>0.48377300000000001</c:v>
                </c:pt>
                <c:pt idx="38">
                  <c:v>0.48377300000000001</c:v>
                </c:pt>
                <c:pt idx="39">
                  <c:v>0.48380099999999998</c:v>
                </c:pt>
                <c:pt idx="40">
                  <c:v>0.48392400000000002</c:v>
                </c:pt>
                <c:pt idx="41">
                  <c:v>0.48393700000000001</c:v>
                </c:pt>
                <c:pt idx="42">
                  <c:v>0.48377300000000001</c:v>
                </c:pt>
                <c:pt idx="43">
                  <c:v>0.483651</c:v>
                </c:pt>
                <c:pt idx="44">
                  <c:v>0.48360999999999998</c:v>
                </c:pt>
                <c:pt idx="45">
                  <c:v>0.483678</c:v>
                </c:pt>
                <c:pt idx="46">
                  <c:v>0.48373300000000002</c:v>
                </c:pt>
                <c:pt idx="47">
                  <c:v>0.48362300000000003</c:v>
                </c:pt>
                <c:pt idx="48">
                  <c:v>0.48344599999999999</c:v>
                </c:pt>
                <c:pt idx="49">
                  <c:v>0.48314600000000002</c:v>
                </c:pt>
                <c:pt idx="50">
                  <c:v>0.483296</c:v>
                </c:pt>
                <c:pt idx="51">
                  <c:v>0.48346</c:v>
                </c:pt>
                <c:pt idx="52">
                  <c:v>0.48328199999999999</c:v>
                </c:pt>
                <c:pt idx="53">
                  <c:v>0.48314600000000002</c:v>
                </c:pt>
                <c:pt idx="54">
                  <c:v>0.48325499999999999</c:v>
                </c:pt>
                <c:pt idx="55">
                  <c:v>0.48321399999999998</c:v>
                </c:pt>
                <c:pt idx="56">
                  <c:v>0.48310500000000001</c:v>
                </c:pt>
                <c:pt idx="57">
                  <c:v>0.48311900000000002</c:v>
                </c:pt>
                <c:pt idx="58">
                  <c:v>0.48314600000000002</c:v>
                </c:pt>
                <c:pt idx="59">
                  <c:v>0.48299599999999998</c:v>
                </c:pt>
                <c:pt idx="60">
                  <c:v>0.48294100000000001</c:v>
                </c:pt>
                <c:pt idx="61">
                  <c:v>0.48306399999999999</c:v>
                </c:pt>
                <c:pt idx="62">
                  <c:v>0.48313200000000001</c:v>
                </c:pt>
                <c:pt idx="63">
                  <c:v>0.48320099999999999</c:v>
                </c:pt>
                <c:pt idx="64">
                  <c:v>0.48322799999999999</c:v>
                </c:pt>
                <c:pt idx="65">
                  <c:v>0.48299599999999998</c:v>
                </c:pt>
                <c:pt idx="66">
                  <c:v>0.48307800000000001</c:v>
                </c:pt>
                <c:pt idx="67">
                  <c:v>0.48300999999999999</c:v>
                </c:pt>
                <c:pt idx="68">
                  <c:v>0.48272300000000001</c:v>
                </c:pt>
                <c:pt idx="69">
                  <c:v>0.48254599999999997</c:v>
                </c:pt>
                <c:pt idx="70">
                  <c:v>0.48264099999999999</c:v>
                </c:pt>
                <c:pt idx="71">
                  <c:v>0.482819</c:v>
                </c:pt>
                <c:pt idx="72">
                  <c:v>0.48298200000000002</c:v>
                </c:pt>
                <c:pt idx="73">
                  <c:v>0.48250500000000002</c:v>
                </c:pt>
                <c:pt idx="74">
                  <c:v>0.48273700000000003</c:v>
                </c:pt>
                <c:pt idx="75">
                  <c:v>-3.45505</c:v>
                </c:pt>
                <c:pt idx="76">
                  <c:v>-10.716200000000001</c:v>
                </c:pt>
                <c:pt idx="77">
                  <c:v>-17.377700000000001</c:v>
                </c:pt>
                <c:pt idx="78">
                  <c:v>-23.881699999999999</c:v>
                </c:pt>
                <c:pt idx="79">
                  <c:v>-29.890899999999998</c:v>
                </c:pt>
                <c:pt idx="80">
                  <c:v>-35.551699999999997</c:v>
                </c:pt>
                <c:pt idx="81">
                  <c:v>-39.255299999999998</c:v>
                </c:pt>
                <c:pt idx="82">
                  <c:v>-37.955300000000001</c:v>
                </c:pt>
                <c:pt idx="83">
                  <c:v>-38.4176</c:v>
                </c:pt>
                <c:pt idx="84">
                  <c:v>-38.307200000000002</c:v>
                </c:pt>
                <c:pt idx="85">
                  <c:v>-38.275700000000001</c:v>
                </c:pt>
                <c:pt idx="86">
                  <c:v>-38.335299999999997</c:v>
                </c:pt>
                <c:pt idx="87">
                  <c:v>-38.287300000000002</c:v>
                </c:pt>
                <c:pt idx="88">
                  <c:v>-38.3033</c:v>
                </c:pt>
                <c:pt idx="89">
                  <c:v>-38.310200000000002</c:v>
                </c:pt>
                <c:pt idx="90">
                  <c:v>-38.265900000000002</c:v>
                </c:pt>
                <c:pt idx="91">
                  <c:v>-38.311999999999998</c:v>
                </c:pt>
                <c:pt idx="92">
                  <c:v>-38.252099999999999</c:v>
                </c:pt>
                <c:pt idx="93">
                  <c:v>-38.317700000000002</c:v>
                </c:pt>
                <c:pt idx="94">
                  <c:v>-38.244500000000002</c:v>
                </c:pt>
                <c:pt idx="95">
                  <c:v>-38.320500000000003</c:v>
                </c:pt>
                <c:pt idx="96">
                  <c:v>-38.249099999999999</c:v>
                </c:pt>
                <c:pt idx="97">
                  <c:v>-38.309600000000003</c:v>
                </c:pt>
                <c:pt idx="98">
                  <c:v>-38.263800000000003</c:v>
                </c:pt>
                <c:pt idx="99">
                  <c:v>-38.272199999999998</c:v>
                </c:pt>
                <c:pt idx="100">
                  <c:v>-38.2851</c:v>
                </c:pt>
                <c:pt idx="101">
                  <c:v>-38.256399999999999</c:v>
                </c:pt>
                <c:pt idx="102">
                  <c:v>-38.296700000000001</c:v>
                </c:pt>
                <c:pt idx="103">
                  <c:v>-38.252000000000002</c:v>
                </c:pt>
                <c:pt idx="104">
                  <c:v>-38.293300000000002</c:v>
                </c:pt>
                <c:pt idx="105">
                  <c:v>-38.267200000000003</c:v>
                </c:pt>
                <c:pt idx="106">
                  <c:v>-38.263800000000003</c:v>
                </c:pt>
                <c:pt idx="107">
                  <c:v>-38.282400000000003</c:v>
                </c:pt>
                <c:pt idx="108">
                  <c:v>-38.251100000000001</c:v>
                </c:pt>
                <c:pt idx="109">
                  <c:v>-38.298099999999998</c:v>
                </c:pt>
                <c:pt idx="110">
                  <c:v>-38.258800000000001</c:v>
                </c:pt>
                <c:pt idx="111">
                  <c:v>-38.284599999999998</c:v>
                </c:pt>
                <c:pt idx="112">
                  <c:v>-38.273600000000002</c:v>
                </c:pt>
                <c:pt idx="113">
                  <c:v>-38.264499999999998</c:v>
                </c:pt>
                <c:pt idx="114">
                  <c:v>-38.288899999999998</c:v>
                </c:pt>
                <c:pt idx="115">
                  <c:v>-38.256300000000003</c:v>
                </c:pt>
                <c:pt idx="116">
                  <c:v>-38.292299999999997</c:v>
                </c:pt>
                <c:pt idx="117">
                  <c:v>-38.262300000000003</c:v>
                </c:pt>
                <c:pt idx="118">
                  <c:v>-38.286499999999997</c:v>
                </c:pt>
                <c:pt idx="119">
                  <c:v>-38.268999999999998</c:v>
                </c:pt>
                <c:pt idx="120">
                  <c:v>-38.278399999999998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89-A74F-BC9D-C92E20576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238687"/>
        <c:axId val="755709855"/>
      </c:scatterChart>
      <c:valAx>
        <c:axId val="68779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 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87391"/>
        <c:crosses val="autoZero"/>
        <c:crossBetween val="midCat"/>
        <c:majorUnit val="5"/>
      </c:valAx>
      <c:valAx>
        <c:axId val="68778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Displacement (nm)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91247"/>
        <c:crosses val="autoZero"/>
        <c:crossBetween val="midCat"/>
        <c:majorUnit val="2000"/>
      </c:valAx>
      <c:valAx>
        <c:axId val="7557098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Load</a:t>
                </a:r>
                <a:r>
                  <a:rPr lang="en-US" baseline="0"/>
                  <a:t> (kN)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38687"/>
        <c:crosses val="max"/>
        <c:crossBetween val="midCat"/>
      </c:valAx>
      <c:valAx>
        <c:axId val="670238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709855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vs Average Displacement ( Compression Load)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'Compression (38 kN)'!$H$1</c:f>
              <c:strCache>
                <c:ptCount val="1"/>
                <c:pt idx="0">
                  <c:v>Displacement [nm]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'Compression (38 kN)'!$G$2:$G$37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'Compression (38 kN)'!$H$2:$H$37</c:f>
              <c:numCache>
                <c:formatCode>General</c:formatCode>
                <c:ptCount val="36"/>
                <c:pt idx="0">
                  <c:v>0</c:v>
                </c:pt>
                <c:pt idx="1">
                  <c:v>-199.99999999254942</c:v>
                </c:pt>
                <c:pt idx="2">
                  <c:v>50</c:v>
                </c:pt>
                <c:pt idx="3">
                  <c:v>-200.00000000745058</c:v>
                </c:pt>
                <c:pt idx="4">
                  <c:v>-50</c:v>
                </c:pt>
                <c:pt idx="5">
                  <c:v>-50</c:v>
                </c:pt>
                <c:pt idx="6">
                  <c:v>0</c:v>
                </c:pt>
                <c:pt idx="7">
                  <c:v>-99.999999992549419</c:v>
                </c:pt>
                <c:pt idx="8">
                  <c:v>49.999999992549419</c:v>
                </c:pt>
                <c:pt idx="9">
                  <c:v>-49.999999992549419</c:v>
                </c:pt>
                <c:pt idx="10">
                  <c:v>0</c:v>
                </c:pt>
                <c:pt idx="11">
                  <c:v>-99.999999992549419</c:v>
                </c:pt>
                <c:pt idx="12">
                  <c:v>0</c:v>
                </c:pt>
                <c:pt idx="13">
                  <c:v>0</c:v>
                </c:pt>
                <c:pt idx="14">
                  <c:v>-100.00000000745058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-50</c:v>
                </c:pt>
                <c:pt idx="19">
                  <c:v>-50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-100</c:v>
                </c:pt>
                <c:pt idx="24">
                  <c:v>49.999999992549419</c:v>
                </c:pt>
                <c:pt idx="25">
                  <c:v>-49.999999992549419</c:v>
                </c:pt>
                <c:pt idx="26">
                  <c:v>-50</c:v>
                </c:pt>
                <c:pt idx="27">
                  <c:v>50</c:v>
                </c:pt>
                <c:pt idx="28">
                  <c:v>-50</c:v>
                </c:pt>
                <c:pt idx="29">
                  <c:v>50</c:v>
                </c:pt>
                <c:pt idx="30">
                  <c:v>-100</c:v>
                </c:pt>
                <c:pt idx="31">
                  <c:v>0</c:v>
                </c:pt>
                <c:pt idx="32">
                  <c:v>-50.000000007450581</c:v>
                </c:pt>
                <c:pt idx="33">
                  <c:v>0</c:v>
                </c:pt>
                <c:pt idx="34">
                  <c:v>0</c:v>
                </c:pt>
                <c:pt idx="35">
                  <c:v>-50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C8-D34E-9A56-A7936C368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91247"/>
        <c:axId val="687787391"/>
      </c:scatterChart>
      <c:scatterChart>
        <c:scatterStyle val="smoothMarker"/>
        <c:varyColors val="0"/>
        <c:ser>
          <c:idx val="1"/>
          <c:order val="1"/>
          <c:tx>
            <c:strRef>
              <c:f>'Compression (38 kN)'!$I$1</c:f>
              <c:strCache>
                <c:ptCount val="1"/>
                <c:pt idx="0">
                  <c:v>Load A [kN]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'Compression (38 kN)'!$G$2:$G$37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'Compression (38 kN)'!$I$2:$I$37</c:f>
              <c:numCache>
                <c:formatCode>General</c:formatCode>
                <c:ptCount val="36"/>
                <c:pt idx="0">
                  <c:v>-38.275700000000001</c:v>
                </c:pt>
                <c:pt idx="1">
                  <c:v>-38.335299999999997</c:v>
                </c:pt>
                <c:pt idx="2">
                  <c:v>-38.287300000000002</c:v>
                </c:pt>
                <c:pt idx="3">
                  <c:v>-38.3033</c:v>
                </c:pt>
                <c:pt idx="4">
                  <c:v>-38.310200000000002</c:v>
                </c:pt>
                <c:pt idx="5">
                  <c:v>-38.265900000000002</c:v>
                </c:pt>
                <c:pt idx="6">
                  <c:v>-38.311999999999998</c:v>
                </c:pt>
                <c:pt idx="7">
                  <c:v>-38.252099999999999</c:v>
                </c:pt>
                <c:pt idx="8">
                  <c:v>-38.317700000000002</c:v>
                </c:pt>
                <c:pt idx="9">
                  <c:v>-38.244500000000002</c:v>
                </c:pt>
                <c:pt idx="10">
                  <c:v>-38.320500000000003</c:v>
                </c:pt>
                <c:pt idx="11">
                  <c:v>-38.249099999999999</c:v>
                </c:pt>
                <c:pt idx="12">
                  <c:v>-38.309600000000003</c:v>
                </c:pt>
                <c:pt idx="13">
                  <c:v>-38.263800000000003</c:v>
                </c:pt>
                <c:pt idx="14">
                  <c:v>-38.272199999999998</c:v>
                </c:pt>
                <c:pt idx="15">
                  <c:v>-38.2851</c:v>
                </c:pt>
                <c:pt idx="16">
                  <c:v>-38.256399999999999</c:v>
                </c:pt>
                <c:pt idx="17">
                  <c:v>-38.296700000000001</c:v>
                </c:pt>
                <c:pt idx="18">
                  <c:v>-38.252000000000002</c:v>
                </c:pt>
                <c:pt idx="19">
                  <c:v>-38.293300000000002</c:v>
                </c:pt>
                <c:pt idx="20">
                  <c:v>-38.267200000000003</c:v>
                </c:pt>
                <c:pt idx="21">
                  <c:v>-38.263800000000003</c:v>
                </c:pt>
                <c:pt idx="22">
                  <c:v>-38.282400000000003</c:v>
                </c:pt>
                <c:pt idx="23">
                  <c:v>-38.251100000000001</c:v>
                </c:pt>
                <c:pt idx="24">
                  <c:v>-38.298099999999998</c:v>
                </c:pt>
                <c:pt idx="25">
                  <c:v>-38.258800000000001</c:v>
                </c:pt>
                <c:pt idx="26">
                  <c:v>-38.284599999999998</c:v>
                </c:pt>
                <c:pt idx="27">
                  <c:v>-38.273600000000002</c:v>
                </c:pt>
                <c:pt idx="28">
                  <c:v>-38.264499999999998</c:v>
                </c:pt>
                <c:pt idx="29">
                  <c:v>-38.288899999999998</c:v>
                </c:pt>
                <c:pt idx="30">
                  <c:v>-38.256300000000003</c:v>
                </c:pt>
                <c:pt idx="31">
                  <c:v>-38.292299999999997</c:v>
                </c:pt>
                <c:pt idx="32">
                  <c:v>-38.262300000000003</c:v>
                </c:pt>
                <c:pt idx="33">
                  <c:v>-38.286499999999997</c:v>
                </c:pt>
                <c:pt idx="34">
                  <c:v>-38.268999999999998</c:v>
                </c:pt>
                <c:pt idx="35">
                  <c:v>-38.278399999999998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C8-D34E-9A56-A7936C368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238687"/>
        <c:axId val="755709855"/>
      </c:scatterChart>
      <c:valAx>
        <c:axId val="68779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 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87391"/>
        <c:crosses val="autoZero"/>
        <c:crossBetween val="midCat"/>
      </c:valAx>
      <c:valAx>
        <c:axId val="68778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Displacement (nm)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91247"/>
        <c:crosses val="autoZero"/>
        <c:crossBetween val="midCat"/>
        <c:majorUnit val="500"/>
      </c:valAx>
      <c:valAx>
        <c:axId val="7557098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Load</a:t>
                </a:r>
                <a:r>
                  <a:rPr lang="en-US" baseline="0"/>
                  <a:t> (kN)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38687"/>
        <c:crosses val="max"/>
        <c:crossBetween val="midCat"/>
      </c:valAx>
      <c:valAx>
        <c:axId val="670238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709855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vs Average Displacement ( on compression load)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'Compression (38 kN)'!$H$1</c:f>
              <c:strCache>
                <c:ptCount val="1"/>
                <c:pt idx="0">
                  <c:v>Displacement [nm]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'Compression (38 kN)'!$G$2:$G$122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'Compression (38 kN)'!$H$2:$H$122</c:f>
              <c:numCache>
                <c:formatCode>General</c:formatCode>
                <c:ptCount val="121"/>
                <c:pt idx="0">
                  <c:v>0</c:v>
                </c:pt>
                <c:pt idx="1">
                  <c:v>-199.99999999254942</c:v>
                </c:pt>
                <c:pt idx="2">
                  <c:v>50</c:v>
                </c:pt>
                <c:pt idx="3">
                  <c:v>-200.00000000745058</c:v>
                </c:pt>
                <c:pt idx="4">
                  <c:v>-50</c:v>
                </c:pt>
                <c:pt idx="5">
                  <c:v>-50</c:v>
                </c:pt>
                <c:pt idx="6">
                  <c:v>0</c:v>
                </c:pt>
                <c:pt idx="7">
                  <c:v>-99.999999992549419</c:v>
                </c:pt>
                <c:pt idx="8">
                  <c:v>49.999999992549419</c:v>
                </c:pt>
                <c:pt idx="9">
                  <c:v>-49.999999992549419</c:v>
                </c:pt>
                <c:pt idx="10">
                  <c:v>0</c:v>
                </c:pt>
                <c:pt idx="11">
                  <c:v>-99.999999992549419</c:v>
                </c:pt>
                <c:pt idx="12">
                  <c:v>0</c:v>
                </c:pt>
                <c:pt idx="13">
                  <c:v>0</c:v>
                </c:pt>
                <c:pt idx="14">
                  <c:v>-100.00000000745058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-50</c:v>
                </c:pt>
                <c:pt idx="19">
                  <c:v>-50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-100</c:v>
                </c:pt>
                <c:pt idx="24">
                  <c:v>49.999999992549419</c:v>
                </c:pt>
                <c:pt idx="25">
                  <c:v>-49.999999992549419</c:v>
                </c:pt>
                <c:pt idx="26">
                  <c:v>-50</c:v>
                </c:pt>
                <c:pt idx="27">
                  <c:v>50</c:v>
                </c:pt>
                <c:pt idx="28">
                  <c:v>-50</c:v>
                </c:pt>
                <c:pt idx="29">
                  <c:v>50</c:v>
                </c:pt>
                <c:pt idx="30">
                  <c:v>-100</c:v>
                </c:pt>
                <c:pt idx="31">
                  <c:v>0</c:v>
                </c:pt>
                <c:pt idx="32">
                  <c:v>-50.000000007450581</c:v>
                </c:pt>
                <c:pt idx="33">
                  <c:v>0</c:v>
                </c:pt>
                <c:pt idx="34">
                  <c:v>0</c:v>
                </c:pt>
                <c:pt idx="35">
                  <c:v>-50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E-C943-9909-392161908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87951"/>
        <c:axId val="740257775"/>
      </c:scatterChart>
      <c:scatterChart>
        <c:scatterStyle val="smoothMarker"/>
        <c:varyColors val="0"/>
        <c:ser>
          <c:idx val="1"/>
          <c:order val="1"/>
          <c:tx>
            <c:strRef>
              <c:f>'Compression (38 kN)'!$I$1</c:f>
              <c:strCache>
                <c:ptCount val="1"/>
                <c:pt idx="0">
                  <c:v>Load A [kN]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'Compression (38 kN)'!$G$2:$G$122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'Compression (38 kN)'!$I$2:$I$122</c:f>
              <c:numCache>
                <c:formatCode>General</c:formatCode>
                <c:ptCount val="121"/>
                <c:pt idx="0">
                  <c:v>-38.275700000000001</c:v>
                </c:pt>
                <c:pt idx="1">
                  <c:v>-38.335299999999997</c:v>
                </c:pt>
                <c:pt idx="2">
                  <c:v>-38.287300000000002</c:v>
                </c:pt>
                <c:pt idx="3">
                  <c:v>-38.3033</c:v>
                </c:pt>
                <c:pt idx="4">
                  <c:v>-38.310200000000002</c:v>
                </c:pt>
                <c:pt idx="5">
                  <c:v>-38.265900000000002</c:v>
                </c:pt>
                <c:pt idx="6">
                  <c:v>-38.311999999999998</c:v>
                </c:pt>
                <c:pt idx="7">
                  <c:v>-38.252099999999999</c:v>
                </c:pt>
                <c:pt idx="8">
                  <c:v>-38.317700000000002</c:v>
                </c:pt>
                <c:pt idx="9">
                  <c:v>-38.244500000000002</c:v>
                </c:pt>
                <c:pt idx="10">
                  <c:v>-38.320500000000003</c:v>
                </c:pt>
                <c:pt idx="11">
                  <c:v>-38.249099999999999</c:v>
                </c:pt>
                <c:pt idx="12">
                  <c:v>-38.309600000000003</c:v>
                </c:pt>
                <c:pt idx="13">
                  <c:v>-38.263800000000003</c:v>
                </c:pt>
                <c:pt idx="14">
                  <c:v>-38.272199999999998</c:v>
                </c:pt>
                <c:pt idx="15">
                  <c:v>-38.2851</c:v>
                </c:pt>
                <c:pt idx="16">
                  <c:v>-38.256399999999999</c:v>
                </c:pt>
                <c:pt idx="17">
                  <c:v>-38.296700000000001</c:v>
                </c:pt>
                <c:pt idx="18">
                  <c:v>-38.252000000000002</c:v>
                </c:pt>
                <c:pt idx="19">
                  <c:v>-38.293300000000002</c:v>
                </c:pt>
                <c:pt idx="20">
                  <c:v>-38.267200000000003</c:v>
                </c:pt>
                <c:pt idx="21">
                  <c:v>-38.263800000000003</c:v>
                </c:pt>
                <c:pt idx="22">
                  <c:v>-38.282400000000003</c:v>
                </c:pt>
                <c:pt idx="23">
                  <c:v>-38.251100000000001</c:v>
                </c:pt>
                <c:pt idx="24">
                  <c:v>-38.298099999999998</c:v>
                </c:pt>
                <c:pt idx="25">
                  <c:v>-38.258800000000001</c:v>
                </c:pt>
                <c:pt idx="26">
                  <c:v>-38.284599999999998</c:v>
                </c:pt>
                <c:pt idx="27">
                  <c:v>-38.273600000000002</c:v>
                </c:pt>
                <c:pt idx="28">
                  <c:v>-38.264499999999998</c:v>
                </c:pt>
                <c:pt idx="29">
                  <c:v>-38.288899999999998</c:v>
                </c:pt>
                <c:pt idx="30">
                  <c:v>-38.256300000000003</c:v>
                </c:pt>
                <c:pt idx="31">
                  <c:v>-38.292299999999997</c:v>
                </c:pt>
                <c:pt idx="32">
                  <c:v>-38.262300000000003</c:v>
                </c:pt>
                <c:pt idx="33">
                  <c:v>-38.286499999999997</c:v>
                </c:pt>
                <c:pt idx="34">
                  <c:v>-38.268999999999998</c:v>
                </c:pt>
                <c:pt idx="35">
                  <c:v>-38.278399999999998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E-C943-9909-392161908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318719"/>
        <c:axId val="743641631"/>
      </c:scatterChart>
      <c:valAx>
        <c:axId val="78178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257775"/>
        <c:crosses val="autoZero"/>
        <c:crossBetween val="midCat"/>
      </c:valAx>
      <c:valAx>
        <c:axId val="74025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 erage Displacement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87951"/>
        <c:crosses val="autoZero"/>
        <c:crossBetween val="midCat"/>
        <c:majorUnit val="10"/>
      </c:valAx>
      <c:valAx>
        <c:axId val="74364163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Load</a:t>
                </a:r>
                <a:r>
                  <a:rPr lang="en-US" baseline="0"/>
                  <a:t> (KN)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18719"/>
        <c:crosses val="max"/>
        <c:crossBetween val="midCat"/>
        <c:majorUnit val="2.0000000000000004E-2"/>
      </c:valAx>
      <c:valAx>
        <c:axId val="752318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3641631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vs Average Displacement ( Tension Load)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'Tension (0-38 KN)'!$I$1</c:f>
              <c:strCache>
                <c:ptCount val="1"/>
                <c:pt idx="0">
                  <c:v>Average Displacement [nm]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xVal>
            <c:numRef>
              <c:f>'Tension (0-38 KN)'!$H$2:$H$140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'Tension (0-38 KN)'!$I$2:$I$140</c:f>
              <c:numCache>
                <c:formatCode>General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-49.999999992549419</c:v>
                </c:pt>
                <c:pt idx="3">
                  <c:v>-50.000000007450581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-50</c:v>
                </c:pt>
                <c:pt idx="8">
                  <c:v>0</c:v>
                </c:pt>
                <c:pt idx="9">
                  <c:v>0</c:v>
                </c:pt>
                <c:pt idx="10">
                  <c:v>-50</c:v>
                </c:pt>
                <c:pt idx="11">
                  <c:v>0</c:v>
                </c:pt>
                <c:pt idx="12">
                  <c:v>-50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-50.000000007450581</c:v>
                </c:pt>
                <c:pt idx="17">
                  <c:v>0</c:v>
                </c:pt>
                <c:pt idx="18">
                  <c:v>0</c:v>
                </c:pt>
                <c:pt idx="19">
                  <c:v>-49.999999992549419</c:v>
                </c:pt>
                <c:pt idx="20">
                  <c:v>0</c:v>
                </c:pt>
                <c:pt idx="21">
                  <c:v>-50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-49.999999992549419</c:v>
                </c:pt>
                <c:pt idx="29">
                  <c:v>0</c:v>
                </c:pt>
                <c:pt idx="30">
                  <c:v>38299.999999992549</c:v>
                </c:pt>
                <c:pt idx="31">
                  <c:v>58850.000000007451</c:v>
                </c:pt>
                <c:pt idx="32">
                  <c:v>65299.999999992549</c:v>
                </c:pt>
                <c:pt idx="33">
                  <c:v>63450</c:v>
                </c:pt>
                <c:pt idx="34">
                  <c:v>59450</c:v>
                </c:pt>
                <c:pt idx="35">
                  <c:v>31300</c:v>
                </c:pt>
                <c:pt idx="36">
                  <c:v>-6749.9999999925494</c:v>
                </c:pt>
                <c:pt idx="37">
                  <c:v>-1000.0000000074506</c:v>
                </c:pt>
                <c:pt idx="38">
                  <c:v>450</c:v>
                </c:pt>
                <c:pt idx="39">
                  <c:v>150</c:v>
                </c:pt>
                <c:pt idx="40">
                  <c:v>-300</c:v>
                </c:pt>
                <c:pt idx="41">
                  <c:v>200</c:v>
                </c:pt>
                <c:pt idx="42">
                  <c:v>-200</c:v>
                </c:pt>
                <c:pt idx="43">
                  <c:v>200</c:v>
                </c:pt>
                <c:pt idx="44">
                  <c:v>-200</c:v>
                </c:pt>
                <c:pt idx="45">
                  <c:v>200</c:v>
                </c:pt>
                <c:pt idx="46">
                  <c:v>-150</c:v>
                </c:pt>
                <c:pt idx="47">
                  <c:v>50</c:v>
                </c:pt>
                <c:pt idx="48">
                  <c:v>100</c:v>
                </c:pt>
                <c:pt idx="49">
                  <c:v>-100</c:v>
                </c:pt>
                <c:pt idx="50">
                  <c:v>100</c:v>
                </c:pt>
                <c:pt idx="51">
                  <c:v>-100</c:v>
                </c:pt>
                <c:pt idx="52">
                  <c:v>100</c:v>
                </c:pt>
                <c:pt idx="53">
                  <c:v>-100</c:v>
                </c:pt>
                <c:pt idx="54">
                  <c:v>100</c:v>
                </c:pt>
                <c:pt idx="55">
                  <c:v>-100</c:v>
                </c:pt>
                <c:pt idx="56">
                  <c:v>0</c:v>
                </c:pt>
                <c:pt idx="57">
                  <c:v>100</c:v>
                </c:pt>
                <c:pt idx="58">
                  <c:v>-100</c:v>
                </c:pt>
                <c:pt idx="59">
                  <c:v>100</c:v>
                </c:pt>
                <c:pt idx="60">
                  <c:v>-150</c:v>
                </c:pt>
                <c:pt idx="61">
                  <c:v>150</c:v>
                </c:pt>
                <c:pt idx="62">
                  <c:v>-100</c:v>
                </c:pt>
                <c:pt idx="63">
                  <c:v>0</c:v>
                </c:pt>
                <c:pt idx="64">
                  <c:v>100</c:v>
                </c:pt>
                <c:pt idx="65">
                  <c:v>-100</c:v>
                </c:pt>
                <c:pt idx="66">
                  <c:v>100</c:v>
                </c:pt>
                <c:pt idx="67">
                  <c:v>-100</c:v>
                </c:pt>
                <c:pt idx="68">
                  <c:v>100</c:v>
                </c:pt>
                <c:pt idx="69">
                  <c:v>-100</c:v>
                </c:pt>
                <c:pt idx="70">
                  <c:v>100</c:v>
                </c:pt>
                <c:pt idx="71">
                  <c:v>-100</c:v>
                </c:pt>
                <c:pt idx="72">
                  <c:v>0</c:v>
                </c:pt>
                <c:pt idx="73">
                  <c:v>100</c:v>
                </c:pt>
                <c:pt idx="74">
                  <c:v>-100</c:v>
                </c:pt>
                <c:pt idx="75">
                  <c:v>100</c:v>
                </c:pt>
                <c:pt idx="76">
                  <c:v>-100</c:v>
                </c:pt>
                <c:pt idx="77">
                  <c:v>100</c:v>
                </c:pt>
                <c:pt idx="78">
                  <c:v>-100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50</c:v>
                </c:pt>
                <c:pt idx="83">
                  <c:v>-50</c:v>
                </c:pt>
                <c:pt idx="84">
                  <c:v>100</c:v>
                </c:pt>
                <c:pt idx="85">
                  <c:v>-100</c:v>
                </c:pt>
                <c:pt idx="86">
                  <c:v>100</c:v>
                </c:pt>
                <c:pt idx="87">
                  <c:v>-100</c:v>
                </c:pt>
                <c:pt idx="88">
                  <c:v>100</c:v>
                </c:pt>
                <c:pt idx="89">
                  <c:v>-100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100</c:v>
                </c:pt>
                <c:pt idx="94">
                  <c:v>-100</c:v>
                </c:pt>
                <c:pt idx="95">
                  <c:v>100</c:v>
                </c:pt>
                <c:pt idx="96">
                  <c:v>-100</c:v>
                </c:pt>
                <c:pt idx="97">
                  <c:v>100</c:v>
                </c:pt>
                <c:pt idx="98">
                  <c:v>-150</c:v>
                </c:pt>
                <c:pt idx="99">
                  <c:v>150</c:v>
                </c:pt>
                <c:pt idx="100">
                  <c:v>-100</c:v>
                </c:pt>
                <c:pt idx="101">
                  <c:v>50</c:v>
                </c:pt>
                <c:pt idx="102">
                  <c:v>-50</c:v>
                </c:pt>
                <c:pt idx="103">
                  <c:v>0</c:v>
                </c:pt>
                <c:pt idx="104">
                  <c:v>100</c:v>
                </c:pt>
                <c:pt idx="105">
                  <c:v>-100</c:v>
                </c:pt>
                <c:pt idx="106">
                  <c:v>100</c:v>
                </c:pt>
                <c:pt idx="107">
                  <c:v>-100</c:v>
                </c:pt>
                <c:pt idx="108">
                  <c:v>100</c:v>
                </c:pt>
                <c:pt idx="109">
                  <c:v>-150</c:v>
                </c:pt>
                <c:pt idx="110">
                  <c:v>150</c:v>
                </c:pt>
                <c:pt idx="111">
                  <c:v>-100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100</c:v>
                </c:pt>
                <c:pt idx="116">
                  <c:v>-150</c:v>
                </c:pt>
                <c:pt idx="117">
                  <c:v>150</c:v>
                </c:pt>
                <c:pt idx="118">
                  <c:v>-150</c:v>
                </c:pt>
                <c:pt idx="119">
                  <c:v>50</c:v>
                </c:pt>
                <c:pt idx="120">
                  <c:v>0</c:v>
                </c:pt>
                <c:pt idx="121">
                  <c:v>-50</c:v>
                </c:pt>
                <c:pt idx="122">
                  <c:v>150</c:v>
                </c:pt>
                <c:pt idx="123">
                  <c:v>-150</c:v>
                </c:pt>
                <c:pt idx="124">
                  <c:v>50</c:v>
                </c:pt>
                <c:pt idx="125">
                  <c:v>-50</c:v>
                </c:pt>
                <c:pt idx="126">
                  <c:v>50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50</c:v>
                </c:pt>
                <c:pt idx="132">
                  <c:v>-50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-50</c:v>
                </c:pt>
                <c:pt idx="138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88-3444-860C-54AA7683B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133103"/>
        <c:axId val="670709919"/>
      </c:scatterChart>
      <c:scatterChart>
        <c:scatterStyle val="smoothMarker"/>
        <c:varyColors val="0"/>
        <c:ser>
          <c:idx val="1"/>
          <c:order val="1"/>
          <c:tx>
            <c:strRef>
              <c:f>'Tension (0-38 KN)'!$J$1</c:f>
              <c:strCache>
                <c:ptCount val="1"/>
                <c:pt idx="0">
                  <c:v>Load A [kN] 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xVal>
            <c:numRef>
              <c:f>'Tension (0-38 KN)'!$H$2:$H$140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'Tension (0-38 KN)'!$J$2:$J$140</c:f>
              <c:numCache>
                <c:formatCode>General</c:formatCode>
                <c:ptCount val="139"/>
                <c:pt idx="0">
                  <c:v>0.52653300000000003</c:v>
                </c:pt>
                <c:pt idx="1">
                  <c:v>0.52559199999999995</c:v>
                </c:pt>
                <c:pt idx="2">
                  <c:v>0.52394099999999999</c:v>
                </c:pt>
                <c:pt idx="3">
                  <c:v>0.52290499999999995</c:v>
                </c:pt>
                <c:pt idx="4">
                  <c:v>0.52180000000000004</c:v>
                </c:pt>
                <c:pt idx="5">
                  <c:v>0.52073599999999998</c:v>
                </c:pt>
                <c:pt idx="6">
                  <c:v>0.51975400000000005</c:v>
                </c:pt>
                <c:pt idx="7">
                  <c:v>0.518567</c:v>
                </c:pt>
                <c:pt idx="8">
                  <c:v>0.51759900000000003</c:v>
                </c:pt>
                <c:pt idx="9">
                  <c:v>0.51646700000000001</c:v>
                </c:pt>
                <c:pt idx="10">
                  <c:v>0.51588000000000001</c:v>
                </c:pt>
                <c:pt idx="11">
                  <c:v>0.51507599999999998</c:v>
                </c:pt>
                <c:pt idx="12">
                  <c:v>0.51447600000000004</c:v>
                </c:pt>
                <c:pt idx="13">
                  <c:v>0.51360300000000003</c:v>
                </c:pt>
                <c:pt idx="14">
                  <c:v>0.51270199999999999</c:v>
                </c:pt>
                <c:pt idx="15">
                  <c:v>0.51225200000000004</c:v>
                </c:pt>
                <c:pt idx="16">
                  <c:v>0.51139299999999999</c:v>
                </c:pt>
                <c:pt idx="17">
                  <c:v>0.51072499999999998</c:v>
                </c:pt>
                <c:pt idx="18">
                  <c:v>0.51031599999999999</c:v>
                </c:pt>
                <c:pt idx="19">
                  <c:v>0.50961999999999996</c:v>
                </c:pt>
                <c:pt idx="20">
                  <c:v>0.50884300000000005</c:v>
                </c:pt>
                <c:pt idx="21">
                  <c:v>0.50827</c:v>
                </c:pt>
                <c:pt idx="22">
                  <c:v>0.507942</c:v>
                </c:pt>
                <c:pt idx="23">
                  <c:v>0.50749200000000005</c:v>
                </c:pt>
                <c:pt idx="24">
                  <c:v>0.50676900000000002</c:v>
                </c:pt>
                <c:pt idx="25">
                  <c:v>0.50634699999999999</c:v>
                </c:pt>
                <c:pt idx="26">
                  <c:v>0.50556900000000005</c:v>
                </c:pt>
                <c:pt idx="27">
                  <c:v>0.50505100000000003</c:v>
                </c:pt>
                <c:pt idx="28">
                  <c:v>0.504355</c:v>
                </c:pt>
                <c:pt idx="29">
                  <c:v>0.50412299999999999</c:v>
                </c:pt>
                <c:pt idx="30">
                  <c:v>4.2048100000000002</c:v>
                </c:pt>
                <c:pt idx="31">
                  <c:v>12.3771</c:v>
                </c:pt>
                <c:pt idx="32">
                  <c:v>20.060500000000001</c:v>
                </c:pt>
                <c:pt idx="33">
                  <c:v>27.1921</c:v>
                </c:pt>
                <c:pt idx="34">
                  <c:v>33.661900000000003</c:v>
                </c:pt>
                <c:pt idx="35">
                  <c:v>38.595799999999997</c:v>
                </c:pt>
                <c:pt idx="36">
                  <c:v>37.8369</c:v>
                </c:pt>
                <c:pt idx="37">
                  <c:v>37.972799999999999</c:v>
                </c:pt>
                <c:pt idx="38">
                  <c:v>37.975000000000001</c:v>
                </c:pt>
                <c:pt idx="39">
                  <c:v>37.926499999999997</c:v>
                </c:pt>
                <c:pt idx="40">
                  <c:v>37.944400000000002</c:v>
                </c:pt>
                <c:pt idx="41">
                  <c:v>37.948900000000002</c:v>
                </c:pt>
                <c:pt idx="42">
                  <c:v>37.918399999999998</c:v>
                </c:pt>
                <c:pt idx="43">
                  <c:v>37.951999999999998</c:v>
                </c:pt>
                <c:pt idx="44">
                  <c:v>37.915300000000002</c:v>
                </c:pt>
                <c:pt idx="45">
                  <c:v>37.939</c:v>
                </c:pt>
                <c:pt idx="46">
                  <c:v>37.903700000000001</c:v>
                </c:pt>
                <c:pt idx="47">
                  <c:v>37.940600000000003</c:v>
                </c:pt>
                <c:pt idx="48">
                  <c:v>37.902200000000001</c:v>
                </c:pt>
                <c:pt idx="49">
                  <c:v>37.929499999999997</c:v>
                </c:pt>
                <c:pt idx="50">
                  <c:v>37.913200000000003</c:v>
                </c:pt>
                <c:pt idx="51">
                  <c:v>37.915300000000002</c:v>
                </c:pt>
                <c:pt idx="52">
                  <c:v>37.920900000000003</c:v>
                </c:pt>
                <c:pt idx="53">
                  <c:v>37.903300000000002</c:v>
                </c:pt>
                <c:pt idx="54">
                  <c:v>37.924300000000002</c:v>
                </c:pt>
                <c:pt idx="55">
                  <c:v>37.895200000000003</c:v>
                </c:pt>
                <c:pt idx="56">
                  <c:v>37.922800000000002</c:v>
                </c:pt>
                <c:pt idx="57">
                  <c:v>37.899099999999997</c:v>
                </c:pt>
                <c:pt idx="58">
                  <c:v>37.913899999999998</c:v>
                </c:pt>
                <c:pt idx="59">
                  <c:v>37.905099999999997</c:v>
                </c:pt>
                <c:pt idx="60">
                  <c:v>37.892600000000002</c:v>
                </c:pt>
                <c:pt idx="61">
                  <c:v>37.917099999999998</c:v>
                </c:pt>
                <c:pt idx="62">
                  <c:v>37.8889</c:v>
                </c:pt>
                <c:pt idx="63">
                  <c:v>37.9148</c:v>
                </c:pt>
                <c:pt idx="64">
                  <c:v>37.889600000000002</c:v>
                </c:pt>
                <c:pt idx="65">
                  <c:v>37.906199999999998</c:v>
                </c:pt>
                <c:pt idx="66">
                  <c:v>37.894100000000002</c:v>
                </c:pt>
                <c:pt idx="67">
                  <c:v>37.896700000000003</c:v>
                </c:pt>
                <c:pt idx="68">
                  <c:v>37.900199999999998</c:v>
                </c:pt>
                <c:pt idx="69">
                  <c:v>37.890900000000002</c:v>
                </c:pt>
                <c:pt idx="70">
                  <c:v>37.907200000000003</c:v>
                </c:pt>
                <c:pt idx="71">
                  <c:v>37.883699999999997</c:v>
                </c:pt>
                <c:pt idx="72">
                  <c:v>37.907400000000003</c:v>
                </c:pt>
                <c:pt idx="73">
                  <c:v>37.8842</c:v>
                </c:pt>
                <c:pt idx="74">
                  <c:v>37.898600000000002</c:v>
                </c:pt>
                <c:pt idx="75">
                  <c:v>37.893700000000003</c:v>
                </c:pt>
                <c:pt idx="76">
                  <c:v>37.890700000000002</c:v>
                </c:pt>
                <c:pt idx="77">
                  <c:v>37.898000000000003</c:v>
                </c:pt>
                <c:pt idx="78">
                  <c:v>37.881500000000003</c:v>
                </c:pt>
                <c:pt idx="79">
                  <c:v>37.902700000000003</c:v>
                </c:pt>
                <c:pt idx="80">
                  <c:v>37.882399999999997</c:v>
                </c:pt>
                <c:pt idx="81">
                  <c:v>37.9011</c:v>
                </c:pt>
                <c:pt idx="82">
                  <c:v>37.8797</c:v>
                </c:pt>
                <c:pt idx="83">
                  <c:v>37.897199999999998</c:v>
                </c:pt>
                <c:pt idx="84">
                  <c:v>37.884700000000002</c:v>
                </c:pt>
                <c:pt idx="85">
                  <c:v>37.8874</c:v>
                </c:pt>
                <c:pt idx="86">
                  <c:v>37.889000000000003</c:v>
                </c:pt>
                <c:pt idx="87">
                  <c:v>37.882199999999997</c:v>
                </c:pt>
                <c:pt idx="88">
                  <c:v>37.892899999999997</c:v>
                </c:pt>
                <c:pt idx="89">
                  <c:v>37.876399999999997</c:v>
                </c:pt>
                <c:pt idx="90">
                  <c:v>37.896500000000003</c:v>
                </c:pt>
                <c:pt idx="91">
                  <c:v>37.8748</c:v>
                </c:pt>
                <c:pt idx="92">
                  <c:v>37.894799999999996</c:v>
                </c:pt>
                <c:pt idx="93">
                  <c:v>37.877099999999999</c:v>
                </c:pt>
                <c:pt idx="94">
                  <c:v>37.890099999999997</c:v>
                </c:pt>
                <c:pt idx="95">
                  <c:v>37.879399999999997</c:v>
                </c:pt>
                <c:pt idx="96">
                  <c:v>37.887900000000002</c:v>
                </c:pt>
                <c:pt idx="97">
                  <c:v>37.8795</c:v>
                </c:pt>
                <c:pt idx="98">
                  <c:v>37.883099999999999</c:v>
                </c:pt>
                <c:pt idx="99">
                  <c:v>37.885199999999998</c:v>
                </c:pt>
                <c:pt idx="100">
                  <c:v>37.873899999999999</c:v>
                </c:pt>
                <c:pt idx="101">
                  <c:v>37.890300000000003</c:v>
                </c:pt>
                <c:pt idx="102">
                  <c:v>37.869399999999999</c:v>
                </c:pt>
                <c:pt idx="103">
                  <c:v>37.890099999999997</c:v>
                </c:pt>
                <c:pt idx="104">
                  <c:v>37.872300000000003</c:v>
                </c:pt>
                <c:pt idx="105">
                  <c:v>37.886499999999998</c:v>
                </c:pt>
                <c:pt idx="106">
                  <c:v>37.874099999999999</c:v>
                </c:pt>
                <c:pt idx="107">
                  <c:v>37.883299999999998</c:v>
                </c:pt>
                <c:pt idx="108">
                  <c:v>37.879100000000001</c:v>
                </c:pt>
                <c:pt idx="109">
                  <c:v>37.877499999999998</c:v>
                </c:pt>
                <c:pt idx="110">
                  <c:v>37.883000000000003</c:v>
                </c:pt>
                <c:pt idx="111">
                  <c:v>37.869900000000001</c:v>
                </c:pt>
                <c:pt idx="112">
                  <c:v>37.887599999999999</c:v>
                </c:pt>
                <c:pt idx="113">
                  <c:v>37.866100000000003</c:v>
                </c:pt>
                <c:pt idx="114">
                  <c:v>37.886200000000002</c:v>
                </c:pt>
                <c:pt idx="115">
                  <c:v>37.872300000000003</c:v>
                </c:pt>
                <c:pt idx="116">
                  <c:v>37.878700000000002</c:v>
                </c:pt>
                <c:pt idx="117">
                  <c:v>37.879100000000001</c:v>
                </c:pt>
                <c:pt idx="118">
                  <c:v>37.869</c:v>
                </c:pt>
                <c:pt idx="119">
                  <c:v>37.885599999999997</c:v>
                </c:pt>
                <c:pt idx="120">
                  <c:v>37.864899999999999</c:v>
                </c:pt>
                <c:pt idx="121">
                  <c:v>37.883899999999997</c:v>
                </c:pt>
                <c:pt idx="122">
                  <c:v>37.871400000000001</c:v>
                </c:pt>
                <c:pt idx="123">
                  <c:v>37.8765</c:v>
                </c:pt>
                <c:pt idx="124">
                  <c:v>37.877200000000002</c:v>
                </c:pt>
                <c:pt idx="125">
                  <c:v>37.868699999999997</c:v>
                </c:pt>
                <c:pt idx="126">
                  <c:v>37.883400000000002</c:v>
                </c:pt>
                <c:pt idx="127">
                  <c:v>37.864600000000003</c:v>
                </c:pt>
                <c:pt idx="128">
                  <c:v>37.883099999999999</c:v>
                </c:pt>
                <c:pt idx="129">
                  <c:v>37.868000000000002</c:v>
                </c:pt>
                <c:pt idx="130">
                  <c:v>37.876600000000003</c:v>
                </c:pt>
                <c:pt idx="131">
                  <c:v>37.872999999999998</c:v>
                </c:pt>
                <c:pt idx="132">
                  <c:v>37.868000000000002</c:v>
                </c:pt>
                <c:pt idx="133">
                  <c:v>37.880099999999999</c:v>
                </c:pt>
                <c:pt idx="134">
                  <c:v>37.863700000000001</c:v>
                </c:pt>
                <c:pt idx="135">
                  <c:v>37.881</c:v>
                </c:pt>
                <c:pt idx="136">
                  <c:v>37.863900000000001</c:v>
                </c:pt>
                <c:pt idx="137">
                  <c:v>37.878999999999998</c:v>
                </c:pt>
                <c:pt idx="138">
                  <c:v>37.866399999999999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8-3444-860C-54AA7683B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36415"/>
        <c:axId val="751766959"/>
      </c:scatterChart>
      <c:valAx>
        <c:axId val="75113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09919"/>
        <c:crosses val="autoZero"/>
        <c:crossBetween val="midCat"/>
        <c:majorUnit val="5"/>
      </c:valAx>
      <c:valAx>
        <c:axId val="67070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Displacement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33103"/>
        <c:crosses val="autoZero"/>
        <c:crossBetween val="midCat"/>
        <c:majorUnit val="1000"/>
      </c:valAx>
      <c:valAx>
        <c:axId val="75176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</a:t>
                </a:r>
              </a:p>
              <a:p>
                <a:pPr>
                  <a:defRPr/>
                </a:pPr>
                <a:r>
                  <a:rPr lang="en-US"/>
                  <a:t>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36415"/>
        <c:crosses val="max"/>
        <c:crossBetween val="midCat"/>
      </c:valAx>
      <c:valAx>
        <c:axId val="28263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76695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vs Average Displacement ( Tension Load)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'Tension (38 KN)'!$I$1</c:f>
              <c:strCache>
                <c:ptCount val="1"/>
                <c:pt idx="0">
                  <c:v>Average Displacement [nm]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'Tension (38 KN)'!$H$2:$H$101</c:f>
              <c:numCache>
                <c:formatCode>General</c:formatCode>
                <c:ptCount val="100"/>
                <c:pt idx="0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</c:numCache>
            </c:numRef>
          </c:xVal>
          <c:yVal>
            <c:numRef>
              <c:f>'Tension (38 KN)'!$I$2:$I$101</c:f>
              <c:numCache>
                <c:formatCode>General</c:formatCode>
                <c:ptCount val="100"/>
                <c:pt idx="0">
                  <c:v>0</c:v>
                </c:pt>
                <c:pt idx="1">
                  <c:v>-300</c:v>
                </c:pt>
                <c:pt idx="2">
                  <c:v>200</c:v>
                </c:pt>
                <c:pt idx="3">
                  <c:v>-200</c:v>
                </c:pt>
                <c:pt idx="4">
                  <c:v>200</c:v>
                </c:pt>
                <c:pt idx="5">
                  <c:v>-200</c:v>
                </c:pt>
                <c:pt idx="6">
                  <c:v>200</c:v>
                </c:pt>
                <c:pt idx="7">
                  <c:v>-150</c:v>
                </c:pt>
                <c:pt idx="8">
                  <c:v>50</c:v>
                </c:pt>
                <c:pt idx="9">
                  <c:v>100</c:v>
                </c:pt>
                <c:pt idx="10">
                  <c:v>-100</c:v>
                </c:pt>
                <c:pt idx="11">
                  <c:v>100</c:v>
                </c:pt>
                <c:pt idx="12">
                  <c:v>-100</c:v>
                </c:pt>
                <c:pt idx="13">
                  <c:v>100</c:v>
                </c:pt>
                <c:pt idx="14">
                  <c:v>-100</c:v>
                </c:pt>
                <c:pt idx="15">
                  <c:v>100</c:v>
                </c:pt>
                <c:pt idx="16">
                  <c:v>-100</c:v>
                </c:pt>
                <c:pt idx="17">
                  <c:v>0</c:v>
                </c:pt>
                <c:pt idx="18">
                  <c:v>100</c:v>
                </c:pt>
                <c:pt idx="19">
                  <c:v>-100</c:v>
                </c:pt>
                <c:pt idx="20">
                  <c:v>100</c:v>
                </c:pt>
                <c:pt idx="21">
                  <c:v>-150</c:v>
                </c:pt>
                <c:pt idx="22">
                  <c:v>150</c:v>
                </c:pt>
                <c:pt idx="23">
                  <c:v>-100</c:v>
                </c:pt>
                <c:pt idx="24">
                  <c:v>0</c:v>
                </c:pt>
                <c:pt idx="25">
                  <c:v>100</c:v>
                </c:pt>
                <c:pt idx="26">
                  <c:v>-100</c:v>
                </c:pt>
                <c:pt idx="27">
                  <c:v>100</c:v>
                </c:pt>
                <c:pt idx="28">
                  <c:v>-100</c:v>
                </c:pt>
                <c:pt idx="29">
                  <c:v>100</c:v>
                </c:pt>
                <c:pt idx="30">
                  <c:v>-100</c:v>
                </c:pt>
                <c:pt idx="31">
                  <c:v>100</c:v>
                </c:pt>
                <c:pt idx="32">
                  <c:v>-100</c:v>
                </c:pt>
                <c:pt idx="33">
                  <c:v>0</c:v>
                </c:pt>
                <c:pt idx="34">
                  <c:v>100</c:v>
                </c:pt>
                <c:pt idx="35">
                  <c:v>-100</c:v>
                </c:pt>
                <c:pt idx="36">
                  <c:v>100</c:v>
                </c:pt>
                <c:pt idx="37">
                  <c:v>-100</c:v>
                </c:pt>
                <c:pt idx="38">
                  <c:v>100</c:v>
                </c:pt>
                <c:pt idx="39">
                  <c:v>-100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50</c:v>
                </c:pt>
                <c:pt idx="44">
                  <c:v>-50</c:v>
                </c:pt>
                <c:pt idx="45">
                  <c:v>100</c:v>
                </c:pt>
                <c:pt idx="46">
                  <c:v>-100</c:v>
                </c:pt>
                <c:pt idx="47">
                  <c:v>100</c:v>
                </c:pt>
                <c:pt idx="48">
                  <c:v>-100</c:v>
                </c:pt>
                <c:pt idx="49">
                  <c:v>100</c:v>
                </c:pt>
                <c:pt idx="50">
                  <c:v>-100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100</c:v>
                </c:pt>
                <c:pt idx="55">
                  <c:v>-100</c:v>
                </c:pt>
                <c:pt idx="56">
                  <c:v>100</c:v>
                </c:pt>
                <c:pt idx="57">
                  <c:v>-100</c:v>
                </c:pt>
                <c:pt idx="58">
                  <c:v>100</c:v>
                </c:pt>
                <c:pt idx="59">
                  <c:v>-150</c:v>
                </c:pt>
                <c:pt idx="60">
                  <c:v>150</c:v>
                </c:pt>
                <c:pt idx="61">
                  <c:v>-100</c:v>
                </c:pt>
                <c:pt idx="62">
                  <c:v>50</c:v>
                </c:pt>
                <c:pt idx="63">
                  <c:v>-50</c:v>
                </c:pt>
                <c:pt idx="64">
                  <c:v>0</c:v>
                </c:pt>
                <c:pt idx="65">
                  <c:v>100</c:v>
                </c:pt>
                <c:pt idx="66">
                  <c:v>-100</c:v>
                </c:pt>
                <c:pt idx="67">
                  <c:v>100</c:v>
                </c:pt>
                <c:pt idx="68">
                  <c:v>-100</c:v>
                </c:pt>
                <c:pt idx="69">
                  <c:v>100</c:v>
                </c:pt>
                <c:pt idx="70">
                  <c:v>-150</c:v>
                </c:pt>
                <c:pt idx="71">
                  <c:v>150</c:v>
                </c:pt>
                <c:pt idx="72">
                  <c:v>-100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100</c:v>
                </c:pt>
                <c:pt idx="77">
                  <c:v>-150</c:v>
                </c:pt>
                <c:pt idx="78">
                  <c:v>150</c:v>
                </c:pt>
                <c:pt idx="79">
                  <c:v>-150</c:v>
                </c:pt>
                <c:pt idx="80">
                  <c:v>50</c:v>
                </c:pt>
                <c:pt idx="81">
                  <c:v>0</c:v>
                </c:pt>
                <c:pt idx="82">
                  <c:v>-50</c:v>
                </c:pt>
                <c:pt idx="83">
                  <c:v>150</c:v>
                </c:pt>
                <c:pt idx="84">
                  <c:v>-150</c:v>
                </c:pt>
                <c:pt idx="85">
                  <c:v>50</c:v>
                </c:pt>
                <c:pt idx="86">
                  <c:v>-50</c:v>
                </c:pt>
                <c:pt idx="87">
                  <c:v>50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50</c:v>
                </c:pt>
                <c:pt idx="93">
                  <c:v>-50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-50</c:v>
                </c:pt>
                <c:pt idx="99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0-EC47-9EC9-3B8F634F2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133103"/>
        <c:axId val="670709919"/>
      </c:scatterChart>
      <c:scatterChart>
        <c:scatterStyle val="smoothMarker"/>
        <c:varyColors val="0"/>
        <c:ser>
          <c:idx val="1"/>
          <c:order val="1"/>
          <c:tx>
            <c:strRef>
              <c:f>'Tension (38 KN)'!$J$1</c:f>
              <c:strCache>
                <c:ptCount val="1"/>
                <c:pt idx="0">
                  <c:v>Load A [kN]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'Tension (38 KN)'!$H$2:$H$101</c:f>
              <c:numCache>
                <c:formatCode>General</c:formatCode>
                <c:ptCount val="100"/>
                <c:pt idx="0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</c:numCache>
            </c:numRef>
          </c:xVal>
          <c:yVal>
            <c:numRef>
              <c:f>'Tension (38 KN)'!$J$2:$J$101</c:f>
              <c:numCache>
                <c:formatCode>General</c:formatCode>
                <c:ptCount val="100"/>
                <c:pt idx="0">
                  <c:v>37.926499999999997</c:v>
                </c:pt>
                <c:pt idx="1">
                  <c:v>37.944400000000002</c:v>
                </c:pt>
                <c:pt idx="2">
                  <c:v>37.948900000000002</c:v>
                </c:pt>
                <c:pt idx="3">
                  <c:v>37.918399999999998</c:v>
                </c:pt>
                <c:pt idx="4">
                  <c:v>37.951999999999998</c:v>
                </c:pt>
                <c:pt idx="5">
                  <c:v>37.915300000000002</c:v>
                </c:pt>
                <c:pt idx="6">
                  <c:v>37.939</c:v>
                </c:pt>
                <c:pt idx="7">
                  <c:v>37.903700000000001</c:v>
                </c:pt>
                <c:pt idx="8">
                  <c:v>37.940600000000003</c:v>
                </c:pt>
                <c:pt idx="9">
                  <c:v>37.902200000000001</c:v>
                </c:pt>
                <c:pt idx="10">
                  <c:v>37.929499999999997</c:v>
                </c:pt>
                <c:pt idx="11">
                  <c:v>37.913200000000003</c:v>
                </c:pt>
                <c:pt idx="12">
                  <c:v>37.915300000000002</c:v>
                </c:pt>
                <c:pt idx="13">
                  <c:v>37.920900000000003</c:v>
                </c:pt>
                <c:pt idx="14">
                  <c:v>37.903300000000002</c:v>
                </c:pt>
                <c:pt idx="15">
                  <c:v>37.924300000000002</c:v>
                </c:pt>
                <c:pt idx="16">
                  <c:v>37.895200000000003</c:v>
                </c:pt>
                <c:pt idx="17">
                  <c:v>37.922800000000002</c:v>
                </c:pt>
                <c:pt idx="18">
                  <c:v>37.899099999999997</c:v>
                </c:pt>
                <c:pt idx="19">
                  <c:v>37.913899999999998</c:v>
                </c:pt>
                <c:pt idx="20">
                  <c:v>37.905099999999997</c:v>
                </c:pt>
                <c:pt idx="21">
                  <c:v>37.892600000000002</c:v>
                </c:pt>
                <c:pt idx="22">
                  <c:v>37.917099999999998</c:v>
                </c:pt>
                <c:pt idx="23">
                  <c:v>37.8889</c:v>
                </c:pt>
                <c:pt idx="24">
                  <c:v>37.9148</c:v>
                </c:pt>
                <c:pt idx="25">
                  <c:v>37.889600000000002</c:v>
                </c:pt>
                <c:pt idx="26">
                  <c:v>37.906199999999998</c:v>
                </c:pt>
                <c:pt idx="27">
                  <c:v>37.894100000000002</c:v>
                </c:pt>
                <c:pt idx="28">
                  <c:v>37.896700000000003</c:v>
                </c:pt>
                <c:pt idx="29">
                  <c:v>37.900199999999998</c:v>
                </c:pt>
                <c:pt idx="30">
                  <c:v>37.890900000000002</c:v>
                </c:pt>
                <c:pt idx="31">
                  <c:v>37.907200000000003</c:v>
                </c:pt>
                <c:pt idx="32">
                  <c:v>37.883699999999997</c:v>
                </c:pt>
                <c:pt idx="33">
                  <c:v>37.907400000000003</c:v>
                </c:pt>
                <c:pt idx="34">
                  <c:v>37.8842</c:v>
                </c:pt>
                <c:pt idx="35">
                  <c:v>37.898600000000002</c:v>
                </c:pt>
                <c:pt idx="36">
                  <c:v>37.893700000000003</c:v>
                </c:pt>
                <c:pt idx="37">
                  <c:v>37.890700000000002</c:v>
                </c:pt>
                <c:pt idx="38">
                  <c:v>37.898000000000003</c:v>
                </c:pt>
                <c:pt idx="39">
                  <c:v>37.881500000000003</c:v>
                </c:pt>
                <c:pt idx="40">
                  <c:v>37.902700000000003</c:v>
                </c:pt>
                <c:pt idx="41">
                  <c:v>37.882399999999997</c:v>
                </c:pt>
                <c:pt idx="42">
                  <c:v>37.9011</c:v>
                </c:pt>
                <c:pt idx="43">
                  <c:v>37.8797</c:v>
                </c:pt>
                <c:pt idx="44">
                  <c:v>37.897199999999998</c:v>
                </c:pt>
                <c:pt idx="45">
                  <c:v>37.884700000000002</c:v>
                </c:pt>
                <c:pt idx="46">
                  <c:v>37.8874</c:v>
                </c:pt>
                <c:pt idx="47">
                  <c:v>37.889000000000003</c:v>
                </c:pt>
                <c:pt idx="48">
                  <c:v>37.882199999999997</c:v>
                </c:pt>
                <c:pt idx="49">
                  <c:v>37.892899999999997</c:v>
                </c:pt>
                <c:pt idx="50">
                  <c:v>37.876399999999997</c:v>
                </c:pt>
                <c:pt idx="51">
                  <c:v>37.896500000000003</c:v>
                </c:pt>
                <c:pt idx="52">
                  <c:v>37.8748</c:v>
                </c:pt>
                <c:pt idx="53">
                  <c:v>37.894799999999996</c:v>
                </c:pt>
                <c:pt idx="54">
                  <c:v>37.877099999999999</c:v>
                </c:pt>
                <c:pt idx="55">
                  <c:v>37.890099999999997</c:v>
                </c:pt>
                <c:pt idx="56">
                  <c:v>37.879399999999997</c:v>
                </c:pt>
                <c:pt idx="57">
                  <c:v>37.887900000000002</c:v>
                </c:pt>
                <c:pt idx="58">
                  <c:v>37.8795</c:v>
                </c:pt>
                <c:pt idx="59">
                  <c:v>37.883099999999999</c:v>
                </c:pt>
                <c:pt idx="60">
                  <c:v>37.885199999999998</c:v>
                </c:pt>
                <c:pt idx="61">
                  <c:v>37.873899999999999</c:v>
                </c:pt>
                <c:pt idx="62">
                  <c:v>37.890300000000003</c:v>
                </c:pt>
                <c:pt idx="63">
                  <c:v>37.869399999999999</c:v>
                </c:pt>
                <c:pt idx="64">
                  <c:v>37.890099999999997</c:v>
                </c:pt>
                <c:pt idx="65">
                  <c:v>37.872300000000003</c:v>
                </c:pt>
                <c:pt idx="66">
                  <c:v>37.886499999999998</c:v>
                </c:pt>
                <c:pt idx="67">
                  <c:v>37.874099999999999</c:v>
                </c:pt>
                <c:pt idx="68">
                  <c:v>37.883299999999998</c:v>
                </c:pt>
                <c:pt idx="69">
                  <c:v>37.879100000000001</c:v>
                </c:pt>
                <c:pt idx="70">
                  <c:v>37.877499999999998</c:v>
                </c:pt>
                <c:pt idx="71">
                  <c:v>37.883000000000003</c:v>
                </c:pt>
                <c:pt idx="72">
                  <c:v>37.869900000000001</c:v>
                </c:pt>
                <c:pt idx="73">
                  <c:v>37.887599999999999</c:v>
                </c:pt>
                <c:pt idx="74">
                  <c:v>37.866100000000003</c:v>
                </c:pt>
                <c:pt idx="75">
                  <c:v>37.886200000000002</c:v>
                </c:pt>
                <c:pt idx="76">
                  <c:v>37.872300000000003</c:v>
                </c:pt>
                <c:pt idx="77">
                  <c:v>37.878700000000002</c:v>
                </c:pt>
                <c:pt idx="78">
                  <c:v>37.879100000000001</c:v>
                </c:pt>
                <c:pt idx="79">
                  <c:v>37.869</c:v>
                </c:pt>
                <c:pt idx="80">
                  <c:v>37.885599999999997</c:v>
                </c:pt>
                <c:pt idx="81">
                  <c:v>37.864899999999999</c:v>
                </c:pt>
                <c:pt idx="82">
                  <c:v>37.883899999999997</c:v>
                </c:pt>
                <c:pt idx="83">
                  <c:v>37.871400000000001</c:v>
                </c:pt>
                <c:pt idx="84">
                  <c:v>37.8765</c:v>
                </c:pt>
                <c:pt idx="85">
                  <c:v>37.877200000000002</c:v>
                </c:pt>
                <c:pt idx="86">
                  <c:v>37.868699999999997</c:v>
                </c:pt>
                <c:pt idx="87">
                  <c:v>37.883400000000002</c:v>
                </c:pt>
                <c:pt idx="88">
                  <c:v>37.864600000000003</c:v>
                </c:pt>
                <c:pt idx="89">
                  <c:v>37.883099999999999</c:v>
                </c:pt>
                <c:pt idx="90">
                  <c:v>37.868000000000002</c:v>
                </c:pt>
                <c:pt idx="91">
                  <c:v>37.876600000000003</c:v>
                </c:pt>
                <c:pt idx="92">
                  <c:v>37.872999999999998</c:v>
                </c:pt>
                <c:pt idx="93">
                  <c:v>37.868000000000002</c:v>
                </c:pt>
                <c:pt idx="94">
                  <c:v>37.880099999999999</c:v>
                </c:pt>
                <c:pt idx="95">
                  <c:v>37.863700000000001</c:v>
                </c:pt>
                <c:pt idx="96">
                  <c:v>37.881</c:v>
                </c:pt>
                <c:pt idx="97">
                  <c:v>37.863900000000001</c:v>
                </c:pt>
                <c:pt idx="98">
                  <c:v>37.878999999999998</c:v>
                </c:pt>
                <c:pt idx="99">
                  <c:v>37.866399999999999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0-EC47-9EC9-3B8F634F2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36415"/>
        <c:axId val="751766959"/>
      </c:scatterChart>
      <c:valAx>
        <c:axId val="75113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09919"/>
        <c:crosses val="autoZero"/>
        <c:crossBetween val="midCat"/>
        <c:majorUnit val="5"/>
      </c:valAx>
      <c:valAx>
        <c:axId val="67070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Displacement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33103"/>
        <c:crosses val="autoZero"/>
        <c:crossBetween val="midCat"/>
        <c:majorUnit val="10"/>
      </c:valAx>
      <c:valAx>
        <c:axId val="75176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</a:t>
                </a:r>
              </a:p>
              <a:p>
                <a:pPr>
                  <a:defRPr/>
                </a:pPr>
                <a:r>
                  <a:rPr lang="en-US"/>
                  <a:t>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36415"/>
        <c:crosses val="max"/>
        <c:crossBetween val="midCat"/>
      </c:valAx>
      <c:valAx>
        <c:axId val="28263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766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366348</xdr:colOff>
      <xdr:row>1</xdr:row>
      <xdr:rowOff>56988</xdr:rowOff>
    </xdr:from>
    <xdr:to>
      <xdr:col>19</xdr:col>
      <xdr:colOff>602435</xdr:colOff>
      <xdr:row>49</xdr:row>
      <xdr:rowOff>65130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66AABBC-B606-EB87-35EE-A06370BE4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74</xdr:row>
      <xdr:rowOff>193802</xdr:rowOff>
    </xdr:from>
    <xdr:to>
      <xdr:col>34</xdr:col>
      <xdr:colOff>682219</xdr:colOff>
      <xdr:row>200</xdr:row>
      <xdr:rowOff>192129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07E5F4-C781-D8B2-70C7-036B77186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738389</xdr:colOff>
      <xdr:row>3</xdr:row>
      <xdr:rowOff>8303</xdr:rowOff>
    </xdr:from>
    <xdr:to>
      <xdr:col>19</xdr:col>
      <xdr:colOff>203524</xdr:colOff>
      <xdr:row>32</xdr:row>
      <xdr:rowOff>113974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4F5B3F-8536-5377-DE11-9F7C7330E1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527050</xdr:colOff>
      <xdr:row>1</xdr:row>
      <xdr:rowOff>107950</xdr:rowOff>
    </xdr:from>
    <xdr:to>
      <xdr:col>27</xdr:col>
      <xdr:colOff>660400</xdr:colOff>
      <xdr:row>49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52B04C-37F4-B920-8195-887854E64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527050</xdr:colOff>
      <xdr:row>1</xdr:row>
      <xdr:rowOff>107950</xdr:rowOff>
    </xdr:from>
    <xdr:to>
      <xdr:col>28</xdr:col>
      <xdr:colOff>381000</xdr:colOff>
      <xdr:row>51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876593-92A0-D64B-A70F-2BCC497E2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711CA-3152-4F4F-AE68-CB1DE441BE7A}">
  <dimension ref="A1:I122"/>
  <sheetViews>
    <sheetView tabSelected="1" topLeftCell="C1" zoomScale="156" zoomScaleNormal="100" workbookViewId="0">
      <selection activeCell="F2" sqref="F2"/>
    </sheetView>
  </sheetViews>
  <sheetFormatPr baseColWidth="10" defaultRowHeight="16" x14ac:dyDescent="0.2"/>
  <cols>
    <col min="1" max="1" width="44.5" style="2" customWidth="1"/>
    <col min="2" max="2" width="31" customWidth="1"/>
    <col min="3" max="3" width="28.33203125" customWidth="1"/>
    <col min="4" max="4" width="34.6640625" customWidth="1"/>
    <col min="5" max="5" width="38.1640625" style="2" customWidth="1"/>
    <col min="6" max="6" width="24.1640625" customWidth="1"/>
    <col min="7" max="7" width="17.5" customWidth="1"/>
    <col min="8" max="8" width="24" customWidth="1"/>
    <col min="9" max="9" width="20" customWidth="1"/>
  </cols>
  <sheetData>
    <row r="1" spans="1:9" x14ac:dyDescent="0.2">
      <c r="A1" s="2" t="s">
        <v>8</v>
      </c>
      <c r="B1" t="s">
        <v>3</v>
      </c>
      <c r="C1" t="s">
        <v>2</v>
      </c>
      <c r="D1" t="s">
        <v>4</v>
      </c>
      <c r="E1" s="2" t="s">
        <v>5</v>
      </c>
      <c r="F1" t="s">
        <v>6</v>
      </c>
      <c r="G1" t="s">
        <v>0</v>
      </c>
      <c r="H1" t="s">
        <v>7</v>
      </c>
      <c r="I1" t="s">
        <v>1</v>
      </c>
    </row>
    <row r="2" spans="1:9" x14ac:dyDescent="0.2">
      <c r="A2" s="3">
        <v>45016.442789594905</v>
      </c>
      <c r="B2">
        <v>39.711399999999998</v>
      </c>
      <c r="C2" s="1">
        <v>45016.442789594905</v>
      </c>
      <c r="D2">
        <v>39.324599999999997</v>
      </c>
      <c r="E2" s="4">
        <v>45016.442789351851</v>
      </c>
      <c r="F2">
        <f t="shared" ref="F2:F65" si="0">AVERAGE(B2,D2)*1000000</f>
        <v>39518000</v>
      </c>
      <c r="G2">
        <v>0</v>
      </c>
      <c r="H2">
        <f>F2-F2</f>
        <v>0</v>
      </c>
      <c r="I2">
        <v>0.48532799999999998</v>
      </c>
    </row>
    <row r="3" spans="1:9" x14ac:dyDescent="0.2">
      <c r="A3" s="3">
        <v>45016.442801180558</v>
      </c>
      <c r="B3">
        <v>39.711399999999998</v>
      </c>
      <c r="C3" s="1">
        <v>45016.442801180558</v>
      </c>
      <c r="D3">
        <v>39.324599999999997</v>
      </c>
      <c r="E3" s="3">
        <v>45016.442801180558</v>
      </c>
      <c r="F3">
        <f t="shared" si="0"/>
        <v>39518000</v>
      </c>
      <c r="G3">
        <f>G2+1</f>
        <v>1</v>
      </c>
      <c r="H3">
        <f>F3-F2</f>
        <v>0</v>
      </c>
      <c r="I3">
        <v>0.48536899999999999</v>
      </c>
    </row>
    <row r="4" spans="1:9" x14ac:dyDescent="0.2">
      <c r="A4" s="3">
        <v>45016.442812754627</v>
      </c>
      <c r="B4">
        <v>39.711399999999998</v>
      </c>
      <c r="C4" s="1">
        <v>45016.442812754627</v>
      </c>
      <c r="D4">
        <v>39.324599999999997</v>
      </c>
      <c r="E4" s="3">
        <v>45016.442812754627</v>
      </c>
      <c r="F4">
        <f t="shared" si="0"/>
        <v>39518000</v>
      </c>
      <c r="G4">
        <f t="shared" ref="G4:G67" si="1">G3+1</f>
        <v>2</v>
      </c>
      <c r="H4">
        <f t="shared" ref="H4:H67" si="2">F4-F3</f>
        <v>0</v>
      </c>
      <c r="I4">
        <v>0.48532799999999998</v>
      </c>
    </row>
    <row r="5" spans="1:9" x14ac:dyDescent="0.2">
      <c r="A5" s="3">
        <v>45016.442824317128</v>
      </c>
      <c r="B5">
        <v>39.711399999999998</v>
      </c>
      <c r="C5" s="1">
        <v>45016.442824317128</v>
      </c>
      <c r="D5">
        <v>39.324599999999997</v>
      </c>
      <c r="E5" s="3">
        <v>45016.442824317128</v>
      </c>
      <c r="F5">
        <f t="shared" si="0"/>
        <v>39518000</v>
      </c>
      <c r="G5">
        <f t="shared" si="1"/>
        <v>3</v>
      </c>
      <c r="H5">
        <f t="shared" si="2"/>
        <v>0</v>
      </c>
      <c r="I5">
        <v>0.48510999999999999</v>
      </c>
    </row>
    <row r="6" spans="1:9" x14ac:dyDescent="0.2">
      <c r="A6" s="3">
        <v>45016.442835891205</v>
      </c>
      <c r="B6">
        <v>39.711399999999998</v>
      </c>
      <c r="C6" s="1">
        <v>45016.442835891205</v>
      </c>
      <c r="D6">
        <v>39.324599999999997</v>
      </c>
      <c r="E6" s="3">
        <v>45016.442835891205</v>
      </c>
      <c r="F6">
        <f t="shared" si="0"/>
        <v>39518000</v>
      </c>
      <c r="G6">
        <f t="shared" si="1"/>
        <v>4</v>
      </c>
      <c r="H6">
        <f t="shared" si="2"/>
        <v>0</v>
      </c>
      <c r="I6">
        <v>0.484796</v>
      </c>
    </row>
    <row r="7" spans="1:9" x14ac:dyDescent="0.2">
      <c r="A7" s="3">
        <v>45016.442847465281</v>
      </c>
      <c r="B7">
        <v>39.711399999999998</v>
      </c>
      <c r="C7" s="1">
        <v>45016.442847465281</v>
      </c>
      <c r="D7">
        <v>39.324599999999997</v>
      </c>
      <c r="E7" s="3">
        <v>45016.442847465281</v>
      </c>
      <c r="F7">
        <f t="shared" si="0"/>
        <v>39518000</v>
      </c>
      <c r="G7">
        <f t="shared" si="1"/>
        <v>5</v>
      </c>
      <c r="H7">
        <f t="shared" si="2"/>
        <v>0</v>
      </c>
      <c r="I7">
        <v>0.48491899999999999</v>
      </c>
    </row>
    <row r="8" spans="1:9" x14ac:dyDescent="0.2">
      <c r="A8" s="3">
        <v>45016.442859050927</v>
      </c>
      <c r="B8">
        <v>39.711399999999998</v>
      </c>
      <c r="C8" s="1">
        <v>45016.442859050927</v>
      </c>
      <c r="D8">
        <v>39.324599999999997</v>
      </c>
      <c r="E8" s="3">
        <v>45016.442859050927</v>
      </c>
      <c r="F8">
        <f t="shared" si="0"/>
        <v>39518000</v>
      </c>
      <c r="G8">
        <f t="shared" si="1"/>
        <v>6</v>
      </c>
      <c r="H8">
        <f t="shared" si="2"/>
        <v>0</v>
      </c>
      <c r="I8">
        <v>0.48489199999999999</v>
      </c>
    </row>
    <row r="9" spans="1:9" x14ac:dyDescent="0.2">
      <c r="A9" s="3">
        <v>45016.442870624996</v>
      </c>
      <c r="B9">
        <v>39.711399999999998</v>
      </c>
      <c r="C9" s="1">
        <v>45016.442870624996</v>
      </c>
      <c r="D9">
        <v>39.324599999999997</v>
      </c>
      <c r="E9" s="3">
        <v>45016.442870624996</v>
      </c>
      <c r="F9">
        <f t="shared" si="0"/>
        <v>39518000</v>
      </c>
      <c r="G9">
        <f t="shared" si="1"/>
        <v>7</v>
      </c>
      <c r="H9">
        <f t="shared" si="2"/>
        <v>0</v>
      </c>
      <c r="I9">
        <v>0.48502800000000001</v>
      </c>
    </row>
    <row r="10" spans="1:9" x14ac:dyDescent="0.2">
      <c r="A10" s="3">
        <v>45016.442882199073</v>
      </c>
      <c r="B10">
        <v>39.711399999999998</v>
      </c>
      <c r="C10" s="1">
        <v>45016.442882199073</v>
      </c>
      <c r="D10">
        <v>39.324599999999997</v>
      </c>
      <c r="E10" s="3">
        <v>45016.442882199073</v>
      </c>
      <c r="F10">
        <f t="shared" si="0"/>
        <v>39518000</v>
      </c>
      <c r="G10">
        <f t="shared" si="1"/>
        <v>8</v>
      </c>
      <c r="H10">
        <f t="shared" si="2"/>
        <v>0</v>
      </c>
      <c r="I10">
        <v>0.48506899999999997</v>
      </c>
    </row>
    <row r="11" spans="1:9" x14ac:dyDescent="0.2">
      <c r="A11" s="3">
        <v>45016.44289377315</v>
      </c>
      <c r="B11">
        <v>39.711399999999998</v>
      </c>
      <c r="C11" s="1">
        <v>45016.44289377315</v>
      </c>
      <c r="D11">
        <v>39.324599999999997</v>
      </c>
      <c r="E11" s="3">
        <v>45016.44289377315</v>
      </c>
      <c r="F11">
        <f t="shared" si="0"/>
        <v>39518000</v>
      </c>
      <c r="G11">
        <f t="shared" si="1"/>
        <v>9</v>
      </c>
      <c r="H11">
        <f t="shared" si="2"/>
        <v>0</v>
      </c>
      <c r="I11">
        <v>0.48475600000000002</v>
      </c>
    </row>
    <row r="12" spans="1:9" x14ac:dyDescent="0.2">
      <c r="A12" s="3">
        <v>45016.442905347219</v>
      </c>
      <c r="B12">
        <v>39.711399999999998</v>
      </c>
      <c r="C12" s="1">
        <v>45016.442905347219</v>
      </c>
      <c r="D12">
        <v>39.324599999999997</v>
      </c>
      <c r="E12" s="3">
        <v>45016.442905347219</v>
      </c>
      <c r="F12">
        <f t="shared" si="0"/>
        <v>39518000</v>
      </c>
      <c r="G12">
        <f t="shared" si="1"/>
        <v>10</v>
      </c>
      <c r="H12">
        <f t="shared" si="2"/>
        <v>0</v>
      </c>
      <c r="I12">
        <v>0.48457800000000001</v>
      </c>
    </row>
    <row r="13" spans="1:9" x14ac:dyDescent="0.2">
      <c r="A13" s="3">
        <v>45016.44291690972</v>
      </c>
      <c r="B13">
        <v>39.711399999999998</v>
      </c>
      <c r="C13" s="1">
        <v>45016.44291690972</v>
      </c>
      <c r="D13">
        <v>39.324599999999997</v>
      </c>
      <c r="E13" s="3">
        <v>45016.44291690972</v>
      </c>
      <c r="F13">
        <f t="shared" si="0"/>
        <v>39518000</v>
      </c>
      <c r="G13">
        <f t="shared" si="1"/>
        <v>11</v>
      </c>
      <c r="H13">
        <f t="shared" si="2"/>
        <v>0</v>
      </c>
      <c r="I13">
        <v>0.48476900000000001</v>
      </c>
    </row>
    <row r="14" spans="1:9" x14ac:dyDescent="0.2">
      <c r="A14" s="3">
        <v>45016.442928495373</v>
      </c>
      <c r="B14">
        <v>39.711399999999998</v>
      </c>
      <c r="C14" s="1">
        <v>45016.442928495373</v>
      </c>
      <c r="D14">
        <v>39.324599999999997</v>
      </c>
      <c r="E14" s="3">
        <v>45016.442928495373</v>
      </c>
      <c r="F14">
        <f t="shared" si="0"/>
        <v>39518000</v>
      </c>
      <c r="G14">
        <f t="shared" si="1"/>
        <v>12</v>
      </c>
      <c r="H14">
        <f t="shared" si="2"/>
        <v>0</v>
      </c>
      <c r="I14">
        <v>0.484906</v>
      </c>
    </row>
    <row r="15" spans="1:9" x14ac:dyDescent="0.2">
      <c r="A15" s="3">
        <v>45016.442940057874</v>
      </c>
      <c r="B15">
        <v>39.711399999999998</v>
      </c>
      <c r="C15" s="1">
        <v>45016.442940057874</v>
      </c>
      <c r="D15">
        <v>39.324599999999997</v>
      </c>
      <c r="E15" s="3">
        <v>45016.442940057874</v>
      </c>
      <c r="F15">
        <f t="shared" si="0"/>
        <v>39518000</v>
      </c>
      <c r="G15">
        <f t="shared" si="1"/>
        <v>13</v>
      </c>
      <c r="H15">
        <f t="shared" si="2"/>
        <v>0</v>
      </c>
      <c r="I15">
        <v>0.484537</v>
      </c>
    </row>
    <row r="16" spans="1:9" x14ac:dyDescent="0.2">
      <c r="A16" s="3">
        <v>45016.442951643519</v>
      </c>
      <c r="B16">
        <v>39.711399999999998</v>
      </c>
      <c r="C16" s="1">
        <v>45016.442951643519</v>
      </c>
      <c r="D16">
        <v>39.324599999999997</v>
      </c>
      <c r="E16" s="3">
        <v>45016.442951643519</v>
      </c>
      <c r="F16">
        <f t="shared" si="0"/>
        <v>39518000</v>
      </c>
      <c r="G16">
        <f t="shared" si="1"/>
        <v>14</v>
      </c>
      <c r="H16">
        <f t="shared" si="2"/>
        <v>0</v>
      </c>
      <c r="I16">
        <v>0.48455100000000001</v>
      </c>
    </row>
    <row r="17" spans="1:9" x14ac:dyDescent="0.2">
      <c r="A17" s="3">
        <v>45016.442963217596</v>
      </c>
      <c r="B17">
        <v>39.711399999999998</v>
      </c>
      <c r="C17" s="1">
        <v>45016.442963217596</v>
      </c>
      <c r="D17">
        <v>39.324599999999997</v>
      </c>
      <c r="E17" s="3">
        <v>45016.442963217596</v>
      </c>
      <c r="F17">
        <f t="shared" si="0"/>
        <v>39518000</v>
      </c>
      <c r="G17">
        <f t="shared" si="1"/>
        <v>15</v>
      </c>
      <c r="H17">
        <f t="shared" si="2"/>
        <v>0</v>
      </c>
      <c r="I17">
        <v>0.48460500000000001</v>
      </c>
    </row>
    <row r="18" spans="1:9" x14ac:dyDescent="0.2">
      <c r="A18" s="3">
        <v>45016.442974791666</v>
      </c>
      <c r="B18">
        <v>39.711399999999998</v>
      </c>
      <c r="C18" s="1">
        <v>45016.442974791666</v>
      </c>
      <c r="D18">
        <v>39.324599999999997</v>
      </c>
      <c r="E18" s="3">
        <v>45016.442974791666</v>
      </c>
      <c r="F18">
        <f t="shared" si="0"/>
        <v>39518000</v>
      </c>
      <c r="G18">
        <f t="shared" si="1"/>
        <v>16</v>
      </c>
      <c r="H18">
        <f t="shared" si="2"/>
        <v>0</v>
      </c>
      <c r="I18">
        <v>0.48457800000000001</v>
      </c>
    </row>
    <row r="19" spans="1:9" x14ac:dyDescent="0.2">
      <c r="A19" s="3">
        <v>45016.442986354166</v>
      </c>
      <c r="B19">
        <v>39.711399999999998</v>
      </c>
      <c r="C19" s="1">
        <v>45016.442986354166</v>
      </c>
      <c r="D19">
        <v>39.324599999999997</v>
      </c>
      <c r="E19" s="3">
        <v>45016.442986354166</v>
      </c>
      <c r="F19">
        <f t="shared" si="0"/>
        <v>39518000</v>
      </c>
      <c r="G19">
        <f t="shared" si="1"/>
        <v>17</v>
      </c>
      <c r="H19">
        <f t="shared" si="2"/>
        <v>0</v>
      </c>
      <c r="I19">
        <v>0.48478300000000002</v>
      </c>
    </row>
    <row r="20" spans="1:9" x14ac:dyDescent="0.2">
      <c r="A20" s="3">
        <v>45016.442997939812</v>
      </c>
      <c r="B20">
        <v>39.711399999999998</v>
      </c>
      <c r="C20" s="1">
        <v>45016.442997939812</v>
      </c>
      <c r="D20">
        <v>39.324599999999997</v>
      </c>
      <c r="E20" s="3">
        <v>45016.442997939812</v>
      </c>
      <c r="F20">
        <f t="shared" si="0"/>
        <v>39518000</v>
      </c>
      <c r="G20">
        <f t="shared" si="1"/>
        <v>18</v>
      </c>
      <c r="H20">
        <f t="shared" si="2"/>
        <v>0</v>
      </c>
      <c r="I20">
        <v>0.48483700000000002</v>
      </c>
    </row>
    <row r="21" spans="1:9" x14ac:dyDescent="0.2">
      <c r="A21" s="3">
        <v>45016.443009502313</v>
      </c>
      <c r="B21">
        <v>39.711399999999998</v>
      </c>
      <c r="C21" s="1">
        <v>45016.443009502313</v>
      </c>
      <c r="D21">
        <v>39.324599999999997</v>
      </c>
      <c r="E21" s="3">
        <v>45016.443009502313</v>
      </c>
      <c r="F21">
        <f t="shared" si="0"/>
        <v>39518000</v>
      </c>
      <c r="G21">
        <f t="shared" si="1"/>
        <v>19</v>
      </c>
      <c r="H21">
        <f t="shared" si="2"/>
        <v>0</v>
      </c>
      <c r="I21">
        <v>0.48468699999999998</v>
      </c>
    </row>
    <row r="22" spans="1:9" x14ac:dyDescent="0.2">
      <c r="A22" s="3">
        <v>45016.443021087965</v>
      </c>
      <c r="B22">
        <v>39.711399999999998</v>
      </c>
      <c r="C22" s="1">
        <v>45016.443021087965</v>
      </c>
      <c r="D22">
        <v>39.324599999999997</v>
      </c>
      <c r="E22" s="3">
        <v>45016.443021087965</v>
      </c>
      <c r="F22">
        <f t="shared" si="0"/>
        <v>39518000</v>
      </c>
      <c r="G22">
        <f t="shared" si="1"/>
        <v>20</v>
      </c>
      <c r="H22">
        <f t="shared" si="2"/>
        <v>0</v>
      </c>
      <c r="I22">
        <v>0.48470099999999999</v>
      </c>
    </row>
    <row r="23" spans="1:9" x14ac:dyDescent="0.2">
      <c r="A23" s="3">
        <v>45016.443032650466</v>
      </c>
      <c r="B23">
        <v>39.711399999999998</v>
      </c>
      <c r="C23" s="1">
        <v>45016.443032650466</v>
      </c>
      <c r="D23">
        <v>39.324599999999997</v>
      </c>
      <c r="E23" s="3">
        <v>45016.443032650466</v>
      </c>
      <c r="F23">
        <f t="shared" si="0"/>
        <v>39518000</v>
      </c>
      <c r="G23">
        <f t="shared" si="1"/>
        <v>21</v>
      </c>
      <c r="H23">
        <f t="shared" si="2"/>
        <v>0</v>
      </c>
      <c r="I23">
        <v>0.48444199999999998</v>
      </c>
    </row>
    <row r="24" spans="1:9" x14ac:dyDescent="0.2">
      <c r="A24" s="3">
        <v>45016.443044224536</v>
      </c>
      <c r="B24">
        <v>39.711399999999998</v>
      </c>
      <c r="C24" s="1">
        <v>45016.443044224536</v>
      </c>
      <c r="D24">
        <v>39.324599999999997</v>
      </c>
      <c r="E24" s="3">
        <v>45016.443044224536</v>
      </c>
      <c r="F24">
        <f t="shared" si="0"/>
        <v>39518000</v>
      </c>
      <c r="G24">
        <f t="shared" si="1"/>
        <v>22</v>
      </c>
      <c r="H24">
        <f t="shared" si="2"/>
        <v>0</v>
      </c>
      <c r="I24">
        <v>0.48461900000000002</v>
      </c>
    </row>
    <row r="25" spans="1:9" x14ac:dyDescent="0.2">
      <c r="A25" s="3">
        <v>45016.443055798612</v>
      </c>
      <c r="B25">
        <v>39.711399999999998</v>
      </c>
      <c r="C25" s="1">
        <v>45016.443055798612</v>
      </c>
      <c r="D25">
        <v>39.324599999999997</v>
      </c>
      <c r="E25" s="3">
        <v>45016.443055798612</v>
      </c>
      <c r="F25">
        <f t="shared" si="0"/>
        <v>39518000</v>
      </c>
      <c r="G25">
        <f t="shared" si="1"/>
        <v>23</v>
      </c>
      <c r="H25">
        <f t="shared" si="2"/>
        <v>0</v>
      </c>
      <c r="I25">
        <v>0.48427799999999999</v>
      </c>
    </row>
    <row r="26" spans="1:9" x14ac:dyDescent="0.2">
      <c r="A26" s="3">
        <v>45016.443067384258</v>
      </c>
      <c r="B26">
        <v>39.711399999999998</v>
      </c>
      <c r="C26" s="1">
        <v>45016.443067384258</v>
      </c>
      <c r="D26">
        <v>39.324599999999997</v>
      </c>
      <c r="E26" s="3">
        <v>45016.443067384258</v>
      </c>
      <c r="F26">
        <f t="shared" si="0"/>
        <v>39518000</v>
      </c>
      <c r="G26">
        <f t="shared" si="1"/>
        <v>24</v>
      </c>
      <c r="H26">
        <f t="shared" si="2"/>
        <v>0</v>
      </c>
      <c r="I26">
        <v>0.48433300000000001</v>
      </c>
    </row>
    <row r="27" spans="1:9" x14ac:dyDescent="0.2">
      <c r="A27" s="3">
        <v>45016.443078946759</v>
      </c>
      <c r="B27">
        <v>39.711399999999998</v>
      </c>
      <c r="C27" s="1">
        <v>45016.443078946759</v>
      </c>
      <c r="D27">
        <v>39.324599999999997</v>
      </c>
      <c r="E27" s="3">
        <v>45016.443078946759</v>
      </c>
      <c r="F27">
        <f t="shared" si="0"/>
        <v>39518000</v>
      </c>
      <c r="G27">
        <f t="shared" si="1"/>
        <v>25</v>
      </c>
      <c r="H27">
        <f t="shared" si="2"/>
        <v>0</v>
      </c>
      <c r="I27">
        <v>0.48455100000000001</v>
      </c>
    </row>
    <row r="28" spans="1:9" x14ac:dyDescent="0.2">
      <c r="A28" s="3">
        <v>45016.443090532404</v>
      </c>
      <c r="B28">
        <v>39.711399999999998</v>
      </c>
      <c r="C28" s="1">
        <v>45016.443090532404</v>
      </c>
      <c r="D28">
        <v>39.3245</v>
      </c>
      <c r="E28" s="3">
        <v>45016.443090532404</v>
      </c>
      <c r="F28">
        <f t="shared" si="0"/>
        <v>39517950</v>
      </c>
      <c r="G28">
        <f t="shared" si="1"/>
        <v>26</v>
      </c>
      <c r="H28">
        <f t="shared" si="2"/>
        <v>-50</v>
      </c>
      <c r="I28">
        <v>0.48436000000000001</v>
      </c>
    </row>
    <row r="29" spans="1:9" x14ac:dyDescent="0.2">
      <c r="A29" s="3">
        <v>45016.443102106481</v>
      </c>
      <c r="B29">
        <v>39.711399999999998</v>
      </c>
      <c r="C29" s="1">
        <v>45016.443102106481</v>
      </c>
      <c r="D29">
        <v>39.324599999999997</v>
      </c>
      <c r="E29" s="3">
        <v>45016.443102106481</v>
      </c>
      <c r="F29">
        <f t="shared" si="0"/>
        <v>39518000</v>
      </c>
      <c r="G29">
        <f t="shared" si="1"/>
        <v>27</v>
      </c>
      <c r="H29">
        <f t="shared" si="2"/>
        <v>50</v>
      </c>
      <c r="I29">
        <v>0.48423699999999997</v>
      </c>
    </row>
    <row r="30" spans="1:9" x14ac:dyDescent="0.2">
      <c r="A30" s="3">
        <v>45016.443113668982</v>
      </c>
      <c r="B30">
        <v>39.711399999999998</v>
      </c>
      <c r="C30" s="1">
        <v>45016.443113668982</v>
      </c>
      <c r="D30">
        <v>39.324599999999997</v>
      </c>
      <c r="E30" s="3">
        <v>45016.443113668982</v>
      </c>
      <c r="F30">
        <f t="shared" si="0"/>
        <v>39518000</v>
      </c>
      <c r="G30">
        <f t="shared" si="1"/>
        <v>28</v>
      </c>
      <c r="H30">
        <f t="shared" si="2"/>
        <v>0</v>
      </c>
      <c r="I30">
        <v>0.48420999999999997</v>
      </c>
    </row>
    <row r="31" spans="1:9" x14ac:dyDescent="0.2">
      <c r="A31" s="3">
        <v>45016.443125243059</v>
      </c>
      <c r="B31">
        <v>39.711399999999998</v>
      </c>
      <c r="C31" s="1">
        <v>45016.443125243059</v>
      </c>
      <c r="D31">
        <v>39.324599999999997</v>
      </c>
      <c r="E31" s="3">
        <v>45016.443125243059</v>
      </c>
      <c r="F31">
        <f t="shared" si="0"/>
        <v>39518000</v>
      </c>
      <c r="G31">
        <f t="shared" si="1"/>
        <v>29</v>
      </c>
      <c r="H31">
        <f t="shared" si="2"/>
        <v>0</v>
      </c>
      <c r="I31">
        <v>0.48436000000000001</v>
      </c>
    </row>
    <row r="32" spans="1:9" x14ac:dyDescent="0.2">
      <c r="A32" s="3">
        <v>45016.443136828704</v>
      </c>
      <c r="B32">
        <v>39.711300000000001</v>
      </c>
      <c r="C32" s="1">
        <v>45016.443136828704</v>
      </c>
      <c r="D32">
        <v>39.324599999999997</v>
      </c>
      <c r="E32" s="3">
        <v>45016.443136828704</v>
      </c>
      <c r="F32">
        <f t="shared" si="0"/>
        <v>39517950</v>
      </c>
      <c r="G32">
        <f t="shared" si="1"/>
        <v>30</v>
      </c>
      <c r="H32">
        <f t="shared" si="2"/>
        <v>-50</v>
      </c>
      <c r="I32">
        <v>0.484265</v>
      </c>
    </row>
    <row r="33" spans="1:9" x14ac:dyDescent="0.2">
      <c r="A33" s="3">
        <v>45016.443148391205</v>
      </c>
      <c r="B33">
        <v>39.711300000000001</v>
      </c>
      <c r="C33" s="1">
        <v>45016.443148391205</v>
      </c>
      <c r="D33">
        <v>39.324599999999997</v>
      </c>
      <c r="E33" s="3">
        <v>45016.443148391205</v>
      </c>
      <c r="F33">
        <f t="shared" si="0"/>
        <v>39517950</v>
      </c>
      <c r="G33">
        <f t="shared" si="1"/>
        <v>31</v>
      </c>
      <c r="H33">
        <f t="shared" si="2"/>
        <v>0</v>
      </c>
      <c r="I33">
        <v>0.48378700000000002</v>
      </c>
    </row>
    <row r="34" spans="1:9" x14ac:dyDescent="0.2">
      <c r="A34" s="3">
        <v>45016.443159965274</v>
      </c>
      <c r="B34">
        <v>39.711399999999998</v>
      </c>
      <c r="C34" s="1">
        <v>45016.443159965274</v>
      </c>
      <c r="D34">
        <v>39.3245</v>
      </c>
      <c r="E34" s="3">
        <v>45016.443159965274</v>
      </c>
      <c r="F34">
        <f t="shared" si="0"/>
        <v>39517950</v>
      </c>
      <c r="G34">
        <f t="shared" si="1"/>
        <v>32</v>
      </c>
      <c r="H34">
        <f t="shared" si="2"/>
        <v>0</v>
      </c>
      <c r="I34">
        <v>0.48396400000000001</v>
      </c>
    </row>
    <row r="35" spans="1:9" x14ac:dyDescent="0.2">
      <c r="A35" s="3">
        <v>45016.443171539351</v>
      </c>
      <c r="B35">
        <v>39.711399999999998</v>
      </c>
      <c r="C35" s="1">
        <v>45016.443171539351</v>
      </c>
      <c r="D35">
        <v>39.3245</v>
      </c>
      <c r="E35" s="3">
        <v>45016.443171539351</v>
      </c>
      <c r="F35">
        <f t="shared" si="0"/>
        <v>39517950</v>
      </c>
      <c r="G35">
        <f t="shared" si="1"/>
        <v>33</v>
      </c>
      <c r="H35">
        <f t="shared" si="2"/>
        <v>0</v>
      </c>
      <c r="I35">
        <v>0.48388300000000001</v>
      </c>
    </row>
    <row r="36" spans="1:9" x14ac:dyDescent="0.2">
      <c r="A36" s="3">
        <v>45016.443183113428</v>
      </c>
      <c r="B36">
        <v>39.711399999999998</v>
      </c>
      <c r="C36" s="1">
        <v>45016.443183113428</v>
      </c>
      <c r="D36">
        <v>39.3245</v>
      </c>
      <c r="E36" s="3">
        <v>45016.443183113428</v>
      </c>
      <c r="F36">
        <f t="shared" si="0"/>
        <v>39517950</v>
      </c>
      <c r="G36">
        <f t="shared" si="1"/>
        <v>34</v>
      </c>
      <c r="H36">
        <f t="shared" si="2"/>
        <v>0</v>
      </c>
      <c r="I36">
        <v>0.48388300000000001</v>
      </c>
    </row>
    <row r="37" spans="1:9" x14ac:dyDescent="0.2">
      <c r="A37" s="3">
        <v>45016.443194687497</v>
      </c>
      <c r="B37">
        <v>39.711300000000001</v>
      </c>
      <c r="C37" s="1">
        <v>45016.443194687497</v>
      </c>
      <c r="D37">
        <v>39.3245</v>
      </c>
      <c r="E37" s="3">
        <v>45016.443194687497</v>
      </c>
      <c r="F37">
        <f t="shared" si="0"/>
        <v>39517900</v>
      </c>
      <c r="G37">
        <f t="shared" si="1"/>
        <v>35</v>
      </c>
      <c r="H37">
        <f t="shared" si="2"/>
        <v>-50</v>
      </c>
      <c r="I37">
        <v>0.48382799999999998</v>
      </c>
    </row>
    <row r="38" spans="1:9" x14ac:dyDescent="0.2">
      <c r="A38" s="3">
        <v>45016.443206261574</v>
      </c>
      <c r="B38">
        <v>39.711300000000001</v>
      </c>
      <c r="C38" s="1">
        <v>45016.443206261574</v>
      </c>
      <c r="D38">
        <v>39.3245</v>
      </c>
      <c r="E38" s="3">
        <v>45016.443206261574</v>
      </c>
      <c r="F38">
        <f t="shared" si="0"/>
        <v>39517900</v>
      </c>
      <c r="G38">
        <f t="shared" si="1"/>
        <v>36</v>
      </c>
      <c r="H38">
        <f t="shared" si="2"/>
        <v>0</v>
      </c>
      <c r="I38">
        <v>0.48397800000000002</v>
      </c>
    </row>
    <row r="39" spans="1:9" x14ac:dyDescent="0.2">
      <c r="A39" s="3">
        <v>45016.44321784722</v>
      </c>
      <c r="B39">
        <v>39.711300000000001</v>
      </c>
      <c r="C39" s="1">
        <v>45016.44321784722</v>
      </c>
      <c r="D39">
        <v>39.3245</v>
      </c>
      <c r="E39" s="3">
        <v>45016.44321784722</v>
      </c>
      <c r="F39">
        <f t="shared" si="0"/>
        <v>39517900</v>
      </c>
      <c r="G39">
        <f t="shared" si="1"/>
        <v>37</v>
      </c>
      <c r="H39">
        <f t="shared" si="2"/>
        <v>0</v>
      </c>
      <c r="I39">
        <v>0.48377300000000001</v>
      </c>
    </row>
    <row r="40" spans="1:9" x14ac:dyDescent="0.2">
      <c r="A40" s="3">
        <v>45016.443229409721</v>
      </c>
      <c r="B40">
        <v>39.711300000000001</v>
      </c>
      <c r="C40" s="1">
        <v>45016.443229409721</v>
      </c>
      <c r="D40">
        <v>39.3245</v>
      </c>
      <c r="E40" s="3">
        <v>45016.443229409721</v>
      </c>
      <c r="F40">
        <f t="shared" si="0"/>
        <v>39517900</v>
      </c>
      <c r="G40">
        <f t="shared" si="1"/>
        <v>38</v>
      </c>
      <c r="H40">
        <f t="shared" si="2"/>
        <v>0</v>
      </c>
      <c r="I40">
        <v>0.48377300000000001</v>
      </c>
    </row>
    <row r="41" spans="1:9" x14ac:dyDescent="0.2">
      <c r="A41" s="3">
        <v>45016.443240995373</v>
      </c>
      <c r="B41">
        <v>39.711300000000001</v>
      </c>
      <c r="C41" s="1">
        <v>45016.443240995373</v>
      </c>
      <c r="D41">
        <v>39.3245</v>
      </c>
      <c r="E41" s="3">
        <v>45016.443240995373</v>
      </c>
      <c r="F41">
        <f t="shared" si="0"/>
        <v>39517900</v>
      </c>
      <c r="G41">
        <f t="shared" si="1"/>
        <v>39</v>
      </c>
      <c r="H41">
        <f t="shared" si="2"/>
        <v>0</v>
      </c>
      <c r="I41">
        <v>0.48380099999999998</v>
      </c>
    </row>
    <row r="42" spans="1:9" x14ac:dyDescent="0.2">
      <c r="A42" s="3">
        <v>45016.443252557867</v>
      </c>
      <c r="B42">
        <v>39.711300000000001</v>
      </c>
      <c r="C42" s="1">
        <v>45016.443252557867</v>
      </c>
      <c r="D42">
        <v>39.3245</v>
      </c>
      <c r="E42" s="3">
        <v>45016.443252557867</v>
      </c>
      <c r="F42">
        <f t="shared" si="0"/>
        <v>39517900</v>
      </c>
      <c r="G42">
        <f t="shared" si="1"/>
        <v>40</v>
      </c>
      <c r="H42">
        <f t="shared" si="2"/>
        <v>0</v>
      </c>
      <c r="I42">
        <v>0.48392400000000002</v>
      </c>
    </row>
    <row r="43" spans="1:9" x14ac:dyDescent="0.2">
      <c r="A43" s="3">
        <v>45016.443264131944</v>
      </c>
      <c r="B43">
        <v>39.711300000000001</v>
      </c>
      <c r="C43" s="1">
        <v>45016.443264131944</v>
      </c>
      <c r="D43">
        <v>39.3245</v>
      </c>
      <c r="E43" s="3">
        <v>45016.443264131944</v>
      </c>
      <c r="F43">
        <f t="shared" si="0"/>
        <v>39517900</v>
      </c>
      <c r="G43">
        <f t="shared" si="1"/>
        <v>41</v>
      </c>
      <c r="H43">
        <f t="shared" si="2"/>
        <v>0</v>
      </c>
      <c r="I43">
        <v>0.48393700000000001</v>
      </c>
    </row>
    <row r="44" spans="1:9" x14ac:dyDescent="0.2">
      <c r="A44" s="3">
        <v>45016.44327570602</v>
      </c>
      <c r="B44">
        <v>39.711300000000001</v>
      </c>
      <c r="C44" s="1">
        <v>45016.44327570602</v>
      </c>
      <c r="D44">
        <v>39.3245</v>
      </c>
      <c r="E44" s="3">
        <v>45016.44327570602</v>
      </c>
      <c r="F44">
        <f t="shared" si="0"/>
        <v>39517900</v>
      </c>
      <c r="G44">
        <f t="shared" si="1"/>
        <v>42</v>
      </c>
      <c r="H44">
        <f t="shared" si="2"/>
        <v>0</v>
      </c>
      <c r="I44">
        <v>0.48377300000000001</v>
      </c>
    </row>
    <row r="45" spans="1:9" x14ac:dyDescent="0.2">
      <c r="A45" s="3">
        <v>45016.44328728009</v>
      </c>
      <c r="B45">
        <v>39.711300000000001</v>
      </c>
      <c r="C45" s="1">
        <v>45016.44328728009</v>
      </c>
      <c r="D45">
        <v>39.3245</v>
      </c>
      <c r="E45" s="3">
        <v>45016.44328728009</v>
      </c>
      <c r="F45">
        <f t="shared" si="0"/>
        <v>39517900</v>
      </c>
      <c r="G45">
        <f t="shared" si="1"/>
        <v>43</v>
      </c>
      <c r="H45">
        <f t="shared" si="2"/>
        <v>0</v>
      </c>
      <c r="I45">
        <v>0.483651</v>
      </c>
    </row>
    <row r="46" spans="1:9" x14ac:dyDescent="0.2">
      <c r="A46" s="3">
        <v>45016.443298854167</v>
      </c>
      <c r="B46">
        <v>39.711300000000001</v>
      </c>
      <c r="C46" s="1">
        <v>45016.443298854167</v>
      </c>
      <c r="D46">
        <v>39.3245</v>
      </c>
      <c r="E46" s="3">
        <v>45016.443298854167</v>
      </c>
      <c r="F46">
        <f t="shared" si="0"/>
        <v>39517900</v>
      </c>
      <c r="G46">
        <f t="shared" si="1"/>
        <v>44</v>
      </c>
      <c r="H46">
        <f t="shared" si="2"/>
        <v>0</v>
      </c>
      <c r="I46">
        <v>0.48360999999999998</v>
      </c>
    </row>
    <row r="47" spans="1:9" x14ac:dyDescent="0.2">
      <c r="A47" s="3">
        <v>45016.443310439812</v>
      </c>
      <c r="B47">
        <v>39.711300000000001</v>
      </c>
      <c r="C47" s="1">
        <v>45016.443310439812</v>
      </c>
      <c r="D47">
        <v>39.3245</v>
      </c>
      <c r="E47" s="3">
        <v>45016.443310439812</v>
      </c>
      <c r="F47">
        <f t="shared" si="0"/>
        <v>39517900</v>
      </c>
      <c r="G47">
        <f t="shared" si="1"/>
        <v>45</v>
      </c>
      <c r="H47">
        <f t="shared" si="2"/>
        <v>0</v>
      </c>
      <c r="I47">
        <v>0.483678</v>
      </c>
    </row>
    <row r="48" spans="1:9" x14ac:dyDescent="0.2">
      <c r="A48" s="3">
        <v>45016.443322013889</v>
      </c>
      <c r="B48">
        <v>39.711300000000001</v>
      </c>
      <c r="C48" s="1">
        <v>45016.443322013889</v>
      </c>
      <c r="D48">
        <v>39.3245</v>
      </c>
      <c r="E48" s="3">
        <v>45016.443322013889</v>
      </c>
      <c r="F48">
        <f t="shared" si="0"/>
        <v>39517900</v>
      </c>
      <c r="G48">
        <f t="shared" si="1"/>
        <v>46</v>
      </c>
      <c r="H48">
        <f t="shared" si="2"/>
        <v>0</v>
      </c>
      <c r="I48">
        <v>0.48373300000000002</v>
      </c>
    </row>
    <row r="49" spans="1:9" x14ac:dyDescent="0.2">
      <c r="A49" s="3">
        <v>45016.443333587966</v>
      </c>
      <c r="B49">
        <v>39.711300000000001</v>
      </c>
      <c r="C49" s="1">
        <v>45016.443333587966</v>
      </c>
      <c r="D49">
        <v>39.3245</v>
      </c>
      <c r="E49" s="3">
        <v>45016.443333587966</v>
      </c>
      <c r="F49">
        <f t="shared" si="0"/>
        <v>39517900</v>
      </c>
      <c r="G49">
        <f t="shared" si="1"/>
        <v>47</v>
      </c>
      <c r="H49">
        <f t="shared" si="2"/>
        <v>0</v>
      </c>
      <c r="I49">
        <v>0.48362300000000003</v>
      </c>
    </row>
    <row r="50" spans="1:9" x14ac:dyDescent="0.2">
      <c r="A50" s="3">
        <v>45016.443345162035</v>
      </c>
      <c r="B50">
        <v>39.711300000000001</v>
      </c>
      <c r="C50" s="1">
        <v>45016.443345162035</v>
      </c>
      <c r="D50">
        <v>39.3245</v>
      </c>
      <c r="E50" s="3">
        <v>45016.443345162035</v>
      </c>
      <c r="F50">
        <f t="shared" si="0"/>
        <v>39517900</v>
      </c>
      <c r="G50">
        <f t="shared" si="1"/>
        <v>48</v>
      </c>
      <c r="H50">
        <f t="shared" si="2"/>
        <v>0</v>
      </c>
      <c r="I50">
        <v>0.48344599999999999</v>
      </c>
    </row>
    <row r="51" spans="1:9" x14ac:dyDescent="0.2">
      <c r="A51" s="3">
        <v>45016.443356724536</v>
      </c>
      <c r="B51">
        <v>39.711300000000001</v>
      </c>
      <c r="C51" s="1">
        <v>45016.443356724536</v>
      </c>
      <c r="D51">
        <v>39.3245</v>
      </c>
      <c r="E51" s="3">
        <v>45016.443356724536</v>
      </c>
      <c r="F51">
        <f t="shared" si="0"/>
        <v>39517900</v>
      </c>
      <c r="G51">
        <f t="shared" si="1"/>
        <v>49</v>
      </c>
      <c r="H51">
        <f t="shared" si="2"/>
        <v>0</v>
      </c>
      <c r="I51">
        <v>0.48314600000000002</v>
      </c>
    </row>
    <row r="52" spans="1:9" x14ac:dyDescent="0.2">
      <c r="A52" s="3">
        <v>45016.443368298613</v>
      </c>
      <c r="B52">
        <v>39.711300000000001</v>
      </c>
      <c r="C52" s="1">
        <v>45016.443368298613</v>
      </c>
      <c r="D52">
        <v>39.3245</v>
      </c>
      <c r="E52" s="3">
        <v>45016.443368298613</v>
      </c>
      <c r="F52">
        <f t="shared" si="0"/>
        <v>39517900</v>
      </c>
      <c r="G52">
        <f t="shared" si="1"/>
        <v>50</v>
      </c>
      <c r="H52">
        <f t="shared" si="2"/>
        <v>0</v>
      </c>
      <c r="I52">
        <v>0.483296</v>
      </c>
    </row>
    <row r="53" spans="1:9" x14ac:dyDescent="0.2">
      <c r="A53" s="3">
        <v>45016.443379884258</v>
      </c>
      <c r="B53">
        <v>39.711300000000001</v>
      </c>
      <c r="C53" s="1">
        <v>45016.443379884258</v>
      </c>
      <c r="D53">
        <v>39.3245</v>
      </c>
      <c r="E53" s="3">
        <v>45016.443379884258</v>
      </c>
      <c r="F53">
        <f t="shared" si="0"/>
        <v>39517900</v>
      </c>
      <c r="G53">
        <f t="shared" si="1"/>
        <v>51</v>
      </c>
      <c r="H53">
        <f t="shared" si="2"/>
        <v>0</v>
      </c>
      <c r="I53">
        <v>0.48346</v>
      </c>
    </row>
    <row r="54" spans="1:9" x14ac:dyDescent="0.2">
      <c r="A54" s="3">
        <v>45016.443391446759</v>
      </c>
      <c r="B54">
        <v>39.711300000000001</v>
      </c>
      <c r="C54" s="1">
        <v>45016.443391446759</v>
      </c>
      <c r="D54">
        <v>39.3245</v>
      </c>
      <c r="E54" s="3">
        <v>45016.443391446759</v>
      </c>
      <c r="F54">
        <f t="shared" si="0"/>
        <v>39517900</v>
      </c>
      <c r="G54">
        <f t="shared" si="1"/>
        <v>52</v>
      </c>
      <c r="H54">
        <f t="shared" si="2"/>
        <v>0</v>
      </c>
      <c r="I54">
        <v>0.48328199999999999</v>
      </c>
    </row>
    <row r="55" spans="1:9" x14ac:dyDescent="0.2">
      <c r="A55" s="3">
        <v>45016.443403020836</v>
      </c>
      <c r="B55">
        <v>39.711300000000001</v>
      </c>
      <c r="C55" s="1">
        <v>45016.443403020836</v>
      </c>
      <c r="D55">
        <v>39.3245</v>
      </c>
      <c r="E55" s="3">
        <v>45016.443403020836</v>
      </c>
      <c r="F55">
        <f t="shared" si="0"/>
        <v>39517900</v>
      </c>
      <c r="G55">
        <f t="shared" si="1"/>
        <v>53</v>
      </c>
      <c r="H55">
        <f t="shared" si="2"/>
        <v>0</v>
      </c>
      <c r="I55">
        <v>0.48314600000000002</v>
      </c>
    </row>
    <row r="56" spans="1:9" x14ac:dyDescent="0.2">
      <c r="A56" s="3">
        <v>45016.443414594905</v>
      </c>
      <c r="B56">
        <v>39.711300000000001</v>
      </c>
      <c r="C56" s="1">
        <v>45016.443414594905</v>
      </c>
      <c r="D56">
        <v>39.3245</v>
      </c>
      <c r="E56" s="3">
        <v>45016.443414594905</v>
      </c>
      <c r="F56">
        <f t="shared" si="0"/>
        <v>39517900</v>
      </c>
      <c r="G56">
        <f t="shared" si="1"/>
        <v>54</v>
      </c>
      <c r="H56">
        <f t="shared" si="2"/>
        <v>0</v>
      </c>
      <c r="I56">
        <v>0.48325499999999999</v>
      </c>
    </row>
    <row r="57" spans="1:9" x14ac:dyDescent="0.2">
      <c r="A57" s="3">
        <v>45016.443426180558</v>
      </c>
      <c r="B57">
        <v>39.711300000000001</v>
      </c>
      <c r="C57" s="1">
        <v>45016.443426180558</v>
      </c>
      <c r="D57">
        <v>39.3245</v>
      </c>
      <c r="E57" s="3">
        <v>45016.443426180558</v>
      </c>
      <c r="F57">
        <f t="shared" si="0"/>
        <v>39517900</v>
      </c>
      <c r="G57">
        <f t="shared" si="1"/>
        <v>55</v>
      </c>
      <c r="H57">
        <f t="shared" si="2"/>
        <v>0</v>
      </c>
      <c r="I57">
        <v>0.48321399999999998</v>
      </c>
    </row>
    <row r="58" spans="1:9" x14ac:dyDescent="0.2">
      <c r="A58" s="3">
        <v>45016.443437754628</v>
      </c>
      <c r="B58">
        <v>39.711300000000001</v>
      </c>
      <c r="C58" s="1">
        <v>45016.443437754628</v>
      </c>
      <c r="D58">
        <v>39.3245</v>
      </c>
      <c r="E58" s="3">
        <v>45016.443437754628</v>
      </c>
      <c r="F58">
        <f t="shared" si="0"/>
        <v>39517900</v>
      </c>
      <c r="G58">
        <f t="shared" si="1"/>
        <v>56</v>
      </c>
      <c r="H58">
        <f t="shared" si="2"/>
        <v>0</v>
      </c>
      <c r="I58">
        <v>0.48310500000000001</v>
      </c>
    </row>
    <row r="59" spans="1:9" x14ac:dyDescent="0.2">
      <c r="A59" s="3">
        <v>45016.443449317128</v>
      </c>
      <c r="B59">
        <v>39.711300000000001</v>
      </c>
      <c r="C59" s="1">
        <v>45016.443449317128</v>
      </c>
      <c r="D59">
        <v>39.3245</v>
      </c>
      <c r="E59" s="3">
        <v>45016.443449317128</v>
      </c>
      <c r="F59">
        <f t="shared" si="0"/>
        <v>39517900</v>
      </c>
      <c r="G59">
        <f t="shared" si="1"/>
        <v>57</v>
      </c>
      <c r="H59">
        <f t="shared" si="2"/>
        <v>0</v>
      </c>
      <c r="I59">
        <v>0.48311900000000002</v>
      </c>
    </row>
    <row r="60" spans="1:9" x14ac:dyDescent="0.2">
      <c r="A60" s="3">
        <v>45016.443460902781</v>
      </c>
      <c r="B60">
        <v>39.711300000000001</v>
      </c>
      <c r="C60" s="1">
        <v>45016.443460902781</v>
      </c>
      <c r="D60">
        <v>39.3245</v>
      </c>
      <c r="E60" s="3">
        <v>45016.443460902781</v>
      </c>
      <c r="F60">
        <f t="shared" si="0"/>
        <v>39517900</v>
      </c>
      <c r="G60">
        <f t="shared" si="1"/>
        <v>58</v>
      </c>
      <c r="H60">
        <f t="shared" si="2"/>
        <v>0</v>
      </c>
      <c r="I60">
        <v>0.48314600000000002</v>
      </c>
    </row>
    <row r="61" spans="1:9" x14ac:dyDescent="0.2">
      <c r="A61" s="3">
        <v>45016.443472476851</v>
      </c>
      <c r="B61">
        <v>39.711300000000001</v>
      </c>
      <c r="C61" s="1">
        <v>45016.443472476851</v>
      </c>
      <c r="D61">
        <v>39.3245</v>
      </c>
      <c r="E61" s="3">
        <v>45016.443472476851</v>
      </c>
      <c r="F61">
        <f t="shared" si="0"/>
        <v>39517900</v>
      </c>
      <c r="G61">
        <f t="shared" si="1"/>
        <v>59</v>
      </c>
      <c r="H61">
        <f t="shared" si="2"/>
        <v>0</v>
      </c>
      <c r="I61">
        <v>0.48299599999999998</v>
      </c>
    </row>
    <row r="62" spans="1:9" x14ac:dyDescent="0.2">
      <c r="A62" s="3">
        <v>45016.443484039351</v>
      </c>
      <c r="B62">
        <v>39.711300000000001</v>
      </c>
      <c r="C62" s="1">
        <v>45016.443484039351</v>
      </c>
      <c r="D62">
        <v>39.3245</v>
      </c>
      <c r="E62" s="3">
        <v>45016.443484039351</v>
      </c>
      <c r="F62">
        <f t="shared" si="0"/>
        <v>39517900</v>
      </c>
      <c r="G62">
        <f t="shared" si="1"/>
        <v>60</v>
      </c>
      <c r="H62">
        <f t="shared" si="2"/>
        <v>0</v>
      </c>
      <c r="I62">
        <v>0.48294100000000001</v>
      </c>
    </row>
    <row r="63" spans="1:9" x14ac:dyDescent="0.2">
      <c r="A63" s="3">
        <v>45016.443495613428</v>
      </c>
      <c r="B63">
        <v>39.711300000000001</v>
      </c>
      <c r="C63" s="1">
        <v>45016.443495613428</v>
      </c>
      <c r="D63">
        <v>39.3245</v>
      </c>
      <c r="E63" s="3">
        <v>45016.443495613428</v>
      </c>
      <c r="F63">
        <f t="shared" si="0"/>
        <v>39517900</v>
      </c>
      <c r="G63">
        <f t="shared" si="1"/>
        <v>61</v>
      </c>
      <c r="H63">
        <f t="shared" si="2"/>
        <v>0</v>
      </c>
      <c r="I63">
        <v>0.48306399999999999</v>
      </c>
    </row>
    <row r="64" spans="1:9" x14ac:dyDescent="0.2">
      <c r="A64" s="3">
        <v>45016.443507187498</v>
      </c>
      <c r="B64">
        <v>39.711300000000001</v>
      </c>
      <c r="C64" s="1">
        <v>45016.443507187498</v>
      </c>
      <c r="D64">
        <v>39.3245</v>
      </c>
      <c r="E64" s="3">
        <v>45016.443507187498</v>
      </c>
      <c r="F64">
        <f t="shared" si="0"/>
        <v>39517900</v>
      </c>
      <c r="G64">
        <f t="shared" si="1"/>
        <v>62</v>
      </c>
      <c r="H64">
        <f t="shared" si="2"/>
        <v>0</v>
      </c>
      <c r="I64">
        <v>0.48313200000000001</v>
      </c>
    </row>
    <row r="65" spans="1:9" x14ac:dyDescent="0.2">
      <c r="A65" s="3">
        <v>45016.443518761575</v>
      </c>
      <c r="B65">
        <v>39.711300000000001</v>
      </c>
      <c r="C65" s="1">
        <v>45016.443518761575</v>
      </c>
      <c r="D65">
        <v>39.3245</v>
      </c>
      <c r="E65" s="3">
        <v>45016.443518761575</v>
      </c>
      <c r="F65">
        <f t="shared" si="0"/>
        <v>39517900</v>
      </c>
      <c r="G65">
        <f t="shared" si="1"/>
        <v>63</v>
      </c>
      <c r="H65">
        <f t="shared" si="2"/>
        <v>0</v>
      </c>
      <c r="I65">
        <v>0.48320099999999999</v>
      </c>
    </row>
    <row r="66" spans="1:9" x14ac:dyDescent="0.2">
      <c r="A66" s="3">
        <v>45016.44353045139</v>
      </c>
      <c r="B66">
        <v>39.711300000000001</v>
      </c>
      <c r="C66" s="1">
        <v>45016.443530439814</v>
      </c>
      <c r="D66">
        <v>39.3245</v>
      </c>
      <c r="E66" s="3">
        <v>45016.44353045139</v>
      </c>
      <c r="F66">
        <f t="shared" ref="F66:F122" si="3">AVERAGE(B66,D66)*1000000</f>
        <v>39517900</v>
      </c>
      <c r="G66">
        <f t="shared" si="1"/>
        <v>64</v>
      </c>
      <c r="H66">
        <f t="shared" si="2"/>
        <v>0</v>
      </c>
      <c r="I66">
        <v>0.48322799999999999</v>
      </c>
    </row>
    <row r="67" spans="1:9" x14ac:dyDescent="0.2">
      <c r="A67" s="3">
        <v>45016.443541909721</v>
      </c>
      <c r="B67">
        <v>39.711300000000001</v>
      </c>
      <c r="C67" s="1">
        <v>45016.443541909721</v>
      </c>
      <c r="D67">
        <v>39.3245</v>
      </c>
      <c r="E67" s="3">
        <v>45016.443541909721</v>
      </c>
      <c r="F67">
        <f t="shared" si="3"/>
        <v>39517900</v>
      </c>
      <c r="G67">
        <f t="shared" si="1"/>
        <v>65</v>
      </c>
      <c r="H67">
        <f t="shared" si="2"/>
        <v>0</v>
      </c>
      <c r="I67">
        <v>0.48299599999999998</v>
      </c>
    </row>
    <row r="68" spans="1:9" x14ac:dyDescent="0.2">
      <c r="A68" s="3">
        <v>45016.443553483798</v>
      </c>
      <c r="B68">
        <v>39.711300000000001</v>
      </c>
      <c r="C68" s="1">
        <v>45016.443553483798</v>
      </c>
      <c r="D68">
        <v>39.3245</v>
      </c>
      <c r="E68" s="3">
        <v>45016.443553483798</v>
      </c>
      <c r="F68">
        <f t="shared" si="3"/>
        <v>39517900</v>
      </c>
      <c r="G68">
        <f t="shared" ref="G68:G122" si="4">G67+1</f>
        <v>66</v>
      </c>
      <c r="H68">
        <f t="shared" ref="H68:H122" si="5">F68-F67</f>
        <v>0</v>
      </c>
      <c r="I68">
        <v>0.48307800000000001</v>
      </c>
    </row>
    <row r="69" spans="1:9" x14ac:dyDescent="0.2">
      <c r="A69" s="3">
        <v>45016.443565057867</v>
      </c>
      <c r="B69">
        <v>39.711300000000001</v>
      </c>
      <c r="C69" s="1">
        <v>45016.443565057867</v>
      </c>
      <c r="D69">
        <v>39.3245</v>
      </c>
      <c r="E69" s="3">
        <v>45016.443565057867</v>
      </c>
      <c r="F69">
        <f t="shared" si="3"/>
        <v>39517900</v>
      </c>
      <c r="G69">
        <f t="shared" si="4"/>
        <v>67</v>
      </c>
      <c r="H69">
        <f t="shared" si="5"/>
        <v>0</v>
      </c>
      <c r="I69">
        <v>0.48300999999999999</v>
      </c>
    </row>
    <row r="70" spans="1:9" x14ac:dyDescent="0.2">
      <c r="A70" s="3">
        <v>45016.443576631944</v>
      </c>
      <c r="B70">
        <v>39.711300000000001</v>
      </c>
      <c r="C70" s="1">
        <v>45016.443576631944</v>
      </c>
      <c r="D70">
        <v>39.3245</v>
      </c>
      <c r="E70" s="3">
        <v>45016.443576631944</v>
      </c>
      <c r="F70">
        <f t="shared" si="3"/>
        <v>39517900</v>
      </c>
      <c r="G70">
        <f t="shared" si="4"/>
        <v>68</v>
      </c>
      <c r="H70">
        <f t="shared" si="5"/>
        <v>0</v>
      </c>
      <c r="I70">
        <v>0.48272300000000001</v>
      </c>
    </row>
    <row r="71" spans="1:9" x14ac:dyDescent="0.2">
      <c r="A71" s="3">
        <v>45016.443588206021</v>
      </c>
      <c r="B71">
        <v>39.711300000000001</v>
      </c>
      <c r="C71" s="1">
        <v>45016.443588206021</v>
      </c>
      <c r="D71">
        <v>39.3245</v>
      </c>
      <c r="E71" s="3">
        <v>45016.443588206021</v>
      </c>
      <c r="F71">
        <f t="shared" si="3"/>
        <v>39517900</v>
      </c>
      <c r="G71">
        <f t="shared" si="4"/>
        <v>69</v>
      </c>
      <c r="H71">
        <f t="shared" si="5"/>
        <v>0</v>
      </c>
      <c r="I71">
        <v>0.48254599999999997</v>
      </c>
    </row>
    <row r="72" spans="1:9" x14ac:dyDescent="0.2">
      <c r="A72" s="3">
        <v>45016.44359978009</v>
      </c>
      <c r="B72">
        <v>39.711300000000001</v>
      </c>
      <c r="C72" s="1">
        <v>45016.44359978009</v>
      </c>
      <c r="D72">
        <v>39.3245</v>
      </c>
      <c r="E72" s="3">
        <v>45016.44359978009</v>
      </c>
      <c r="F72">
        <f t="shared" si="3"/>
        <v>39517900</v>
      </c>
      <c r="G72">
        <f t="shared" si="4"/>
        <v>70</v>
      </c>
      <c r="H72">
        <f t="shared" si="5"/>
        <v>0</v>
      </c>
      <c r="I72">
        <v>0.48264099999999999</v>
      </c>
    </row>
    <row r="73" spans="1:9" x14ac:dyDescent="0.2">
      <c r="A73" s="3">
        <v>45016.443611365743</v>
      </c>
      <c r="B73">
        <v>39.711300000000001</v>
      </c>
      <c r="C73" s="1">
        <v>45016.443611365743</v>
      </c>
      <c r="D73">
        <v>39.3245</v>
      </c>
      <c r="E73" s="3">
        <v>45016.443611365743</v>
      </c>
      <c r="F73">
        <f t="shared" si="3"/>
        <v>39517900</v>
      </c>
      <c r="G73">
        <f t="shared" si="4"/>
        <v>71</v>
      </c>
      <c r="H73">
        <f t="shared" si="5"/>
        <v>0</v>
      </c>
      <c r="I73">
        <v>0.482819</v>
      </c>
    </row>
    <row r="74" spans="1:9" x14ac:dyDescent="0.2">
      <c r="A74" s="3">
        <v>45016.443622939812</v>
      </c>
      <c r="B74">
        <v>39.711300000000001</v>
      </c>
      <c r="C74" s="1">
        <v>45016.443622939812</v>
      </c>
      <c r="D74">
        <v>39.3245</v>
      </c>
      <c r="E74" s="3">
        <v>45016.443622939812</v>
      </c>
      <c r="F74">
        <f t="shared" si="3"/>
        <v>39517900</v>
      </c>
      <c r="G74">
        <f t="shared" si="4"/>
        <v>72</v>
      </c>
      <c r="H74">
        <f t="shared" si="5"/>
        <v>0</v>
      </c>
      <c r="I74">
        <v>0.48298200000000002</v>
      </c>
    </row>
    <row r="75" spans="1:9" x14ac:dyDescent="0.2">
      <c r="A75" s="3">
        <v>45016.443634502313</v>
      </c>
      <c r="B75">
        <v>39.711300000000001</v>
      </c>
      <c r="C75" s="1">
        <v>45016.443634502313</v>
      </c>
      <c r="D75">
        <v>39.3245</v>
      </c>
      <c r="E75" s="3">
        <v>45016.443634502313</v>
      </c>
      <c r="F75">
        <f t="shared" si="3"/>
        <v>39517900</v>
      </c>
      <c r="G75">
        <f t="shared" si="4"/>
        <v>73</v>
      </c>
      <c r="H75">
        <f t="shared" si="5"/>
        <v>0</v>
      </c>
      <c r="I75">
        <v>0.48250500000000002</v>
      </c>
    </row>
    <row r="76" spans="1:9" x14ac:dyDescent="0.2">
      <c r="A76" s="3">
        <v>45016.44364607639</v>
      </c>
      <c r="B76">
        <v>39.711300000000001</v>
      </c>
      <c r="C76" s="1">
        <v>45016.44364607639</v>
      </c>
      <c r="D76">
        <v>39.279000000000003</v>
      </c>
      <c r="E76" s="3">
        <v>45016.44364607639</v>
      </c>
      <c r="F76">
        <f t="shared" si="3"/>
        <v>39495150</v>
      </c>
      <c r="G76">
        <f t="shared" si="4"/>
        <v>74</v>
      </c>
      <c r="H76">
        <f t="shared" si="5"/>
        <v>-22750</v>
      </c>
      <c r="I76">
        <v>0.48273700000000003</v>
      </c>
    </row>
    <row r="77" spans="1:9" x14ac:dyDescent="0.2">
      <c r="A77" s="3">
        <v>45016.443657662036</v>
      </c>
      <c r="B77">
        <v>39.651299999999999</v>
      </c>
      <c r="C77" s="1">
        <v>45016.443657662036</v>
      </c>
      <c r="D77">
        <v>39.224400000000003</v>
      </c>
      <c r="E77" s="3">
        <v>45016.443657662036</v>
      </c>
      <c r="F77">
        <f t="shared" si="3"/>
        <v>39437850</v>
      </c>
      <c r="G77">
        <f t="shared" si="4"/>
        <v>75</v>
      </c>
      <c r="H77">
        <f t="shared" si="5"/>
        <v>-57300</v>
      </c>
      <c r="I77">
        <v>-3.45505</v>
      </c>
    </row>
    <row r="78" spans="1:9" x14ac:dyDescent="0.2">
      <c r="A78" s="3">
        <v>45016.443669224536</v>
      </c>
      <c r="B78">
        <v>39.598500000000001</v>
      </c>
      <c r="C78" s="1">
        <v>45016.443669224536</v>
      </c>
      <c r="D78">
        <v>39.172800000000002</v>
      </c>
      <c r="E78" s="3">
        <v>45016.443669224536</v>
      </c>
      <c r="F78">
        <f t="shared" si="3"/>
        <v>39385650</v>
      </c>
      <c r="G78">
        <f t="shared" si="4"/>
        <v>76</v>
      </c>
      <c r="H78">
        <f t="shared" si="5"/>
        <v>-52200</v>
      </c>
      <c r="I78">
        <v>-10.716200000000001</v>
      </c>
    </row>
    <row r="79" spans="1:9" x14ac:dyDescent="0.2">
      <c r="A79" s="3">
        <v>45016.443680798613</v>
      </c>
      <c r="B79">
        <v>39.551699999999997</v>
      </c>
      <c r="C79" s="1">
        <v>45016.443680798613</v>
      </c>
      <c r="D79">
        <v>39.127400000000002</v>
      </c>
      <c r="E79" s="3">
        <v>45016.443680798613</v>
      </c>
      <c r="F79">
        <f t="shared" si="3"/>
        <v>39339550</v>
      </c>
      <c r="G79">
        <f t="shared" si="4"/>
        <v>77</v>
      </c>
      <c r="H79">
        <f t="shared" si="5"/>
        <v>-46100</v>
      </c>
      <c r="I79">
        <v>-17.377700000000001</v>
      </c>
    </row>
    <row r="80" spans="1:9" x14ac:dyDescent="0.2">
      <c r="A80" s="3">
        <v>45016.443692384259</v>
      </c>
      <c r="B80">
        <v>39.508699999999997</v>
      </c>
      <c r="C80" s="1">
        <v>45016.443692384259</v>
      </c>
      <c r="D80">
        <v>39.081600000000002</v>
      </c>
      <c r="E80" s="3">
        <v>45016.443692384259</v>
      </c>
      <c r="F80">
        <f t="shared" si="3"/>
        <v>39295150</v>
      </c>
      <c r="G80">
        <f t="shared" si="4"/>
        <v>78</v>
      </c>
      <c r="H80">
        <f t="shared" si="5"/>
        <v>-44400</v>
      </c>
      <c r="I80">
        <v>-23.881699999999999</v>
      </c>
    </row>
    <row r="81" spans="1:9" x14ac:dyDescent="0.2">
      <c r="A81" s="3">
        <v>45016.443703946759</v>
      </c>
      <c r="B81">
        <v>39.472099999999998</v>
      </c>
      <c r="C81" s="1">
        <v>45016.443703946759</v>
      </c>
      <c r="D81">
        <v>39.0396</v>
      </c>
      <c r="E81" s="3">
        <v>45016.443703946759</v>
      </c>
      <c r="F81">
        <f t="shared" si="3"/>
        <v>39255849.999999993</v>
      </c>
      <c r="G81">
        <f t="shared" si="4"/>
        <v>79</v>
      </c>
      <c r="H81">
        <f t="shared" si="5"/>
        <v>-39300.000000007451</v>
      </c>
      <c r="I81">
        <v>-29.890899999999998</v>
      </c>
    </row>
    <row r="82" spans="1:9" x14ac:dyDescent="0.2">
      <c r="A82" s="3">
        <v>45016.443715520836</v>
      </c>
      <c r="B82">
        <v>39.438800000000001</v>
      </c>
      <c r="C82" s="1">
        <v>45016.443715520836</v>
      </c>
      <c r="D82">
        <v>39.022100000000002</v>
      </c>
      <c r="E82" s="3">
        <v>45016.443715520836</v>
      </c>
      <c r="F82">
        <f t="shared" si="3"/>
        <v>39230450.000000007</v>
      </c>
      <c r="G82">
        <f t="shared" si="4"/>
        <v>80</v>
      </c>
      <c r="H82">
        <f t="shared" si="5"/>
        <v>-25399.999999985099</v>
      </c>
      <c r="I82">
        <v>-35.551699999999997</v>
      </c>
    </row>
    <row r="83" spans="1:9" x14ac:dyDescent="0.2">
      <c r="A83" s="3">
        <v>45016.443727094906</v>
      </c>
      <c r="B83">
        <v>39.425699999999999</v>
      </c>
      <c r="C83" s="1">
        <v>45016.443727094906</v>
      </c>
      <c r="D83">
        <v>39.023499999999999</v>
      </c>
      <c r="E83" s="3">
        <v>45016.443727094906</v>
      </c>
      <c r="F83">
        <f t="shared" si="3"/>
        <v>39224599.999999993</v>
      </c>
      <c r="G83">
        <f t="shared" si="4"/>
        <v>81</v>
      </c>
      <c r="H83">
        <f>F83-F82</f>
        <v>-5850.0000000149012</v>
      </c>
      <c r="I83">
        <v>-39.255299999999998</v>
      </c>
    </row>
    <row r="84" spans="1:9" x14ac:dyDescent="0.2">
      <c r="A84" s="3">
        <v>45016.443738680558</v>
      </c>
      <c r="B84">
        <v>39.425600000000003</v>
      </c>
      <c r="C84" s="1">
        <v>45016.443738680558</v>
      </c>
      <c r="D84">
        <v>39.024000000000001</v>
      </c>
      <c r="E84" s="3">
        <v>45016.443738680558</v>
      </c>
      <c r="F84">
        <f t="shared" si="3"/>
        <v>39224800</v>
      </c>
      <c r="G84">
        <f t="shared" si="4"/>
        <v>82</v>
      </c>
      <c r="H84">
        <f t="shared" si="5"/>
        <v>200.00000000745058</v>
      </c>
      <c r="I84">
        <v>-37.955300000000001</v>
      </c>
    </row>
    <row r="85" spans="1:9" x14ac:dyDescent="0.2">
      <c r="A85" s="3">
        <v>45016.443750243059</v>
      </c>
      <c r="B85">
        <v>39.426600000000001</v>
      </c>
      <c r="C85" s="1">
        <v>45016.443750243059</v>
      </c>
      <c r="D85">
        <v>39.023200000000003</v>
      </c>
      <c r="E85" s="3">
        <v>45016.443750243059</v>
      </c>
      <c r="F85">
        <f t="shared" si="3"/>
        <v>39224900.000000007</v>
      </c>
      <c r="G85">
        <f t="shared" si="4"/>
        <v>83</v>
      </c>
      <c r="H85">
        <f t="shared" si="5"/>
        <v>100.00000000745058</v>
      </c>
      <c r="I85">
        <v>-38.4176</v>
      </c>
    </row>
    <row r="86" spans="1:9" x14ac:dyDescent="0.2">
      <c r="A86" s="3">
        <v>45016.443761817129</v>
      </c>
      <c r="B86">
        <v>39.425600000000003</v>
      </c>
      <c r="C86" s="1">
        <v>45016.443761817129</v>
      </c>
      <c r="D86">
        <v>39.023600000000002</v>
      </c>
      <c r="E86" s="3">
        <v>45016.443761817129</v>
      </c>
      <c r="F86">
        <f t="shared" si="3"/>
        <v>39224600</v>
      </c>
      <c r="G86">
        <f t="shared" si="4"/>
        <v>84</v>
      </c>
      <c r="H86">
        <f t="shared" si="5"/>
        <v>-300.00000000745058</v>
      </c>
      <c r="I86">
        <v>-38.307200000000002</v>
      </c>
    </row>
    <row r="87" spans="1:9" x14ac:dyDescent="0.2">
      <c r="A87" s="3">
        <v>45016.443773391205</v>
      </c>
      <c r="B87">
        <v>39.426200000000001</v>
      </c>
      <c r="C87" s="1">
        <v>45016.443773391205</v>
      </c>
      <c r="D87">
        <v>39.023099999999999</v>
      </c>
      <c r="E87" s="3">
        <v>45016.443773391205</v>
      </c>
      <c r="F87">
        <f t="shared" si="3"/>
        <v>39224650</v>
      </c>
      <c r="G87">
        <f t="shared" si="4"/>
        <v>85</v>
      </c>
      <c r="H87">
        <f t="shared" si="5"/>
        <v>50</v>
      </c>
      <c r="I87">
        <v>-38.275700000000001</v>
      </c>
    </row>
    <row r="88" spans="1:9" x14ac:dyDescent="0.2">
      <c r="A88" s="3">
        <v>45016.443784976851</v>
      </c>
      <c r="B88">
        <v>39.425600000000003</v>
      </c>
      <c r="C88" s="1">
        <v>45016.443784976851</v>
      </c>
      <c r="D88">
        <v>39.023299999999999</v>
      </c>
      <c r="E88" s="3">
        <v>45016.443784976851</v>
      </c>
      <c r="F88">
        <f t="shared" si="3"/>
        <v>39224450.000000007</v>
      </c>
      <c r="G88">
        <f t="shared" si="4"/>
        <v>86</v>
      </c>
      <c r="H88">
        <f t="shared" si="5"/>
        <v>-199.99999999254942</v>
      </c>
      <c r="I88">
        <v>-38.335299999999997</v>
      </c>
    </row>
    <row r="89" spans="1:9" x14ac:dyDescent="0.2">
      <c r="A89" s="3">
        <v>45016.443796539352</v>
      </c>
      <c r="B89">
        <v>39.426000000000002</v>
      </c>
      <c r="C89" s="1">
        <v>45016.443796539352</v>
      </c>
      <c r="D89">
        <v>39.023000000000003</v>
      </c>
      <c r="E89" s="3">
        <v>45016.443796539352</v>
      </c>
      <c r="F89">
        <f t="shared" si="3"/>
        <v>39224500.000000007</v>
      </c>
      <c r="G89">
        <f t="shared" si="4"/>
        <v>87</v>
      </c>
      <c r="H89">
        <f t="shared" si="5"/>
        <v>50</v>
      </c>
      <c r="I89">
        <v>-38.287300000000002</v>
      </c>
    </row>
    <row r="90" spans="1:9" x14ac:dyDescent="0.2">
      <c r="A90" s="3">
        <v>45016.443808113429</v>
      </c>
      <c r="B90">
        <v>39.4255</v>
      </c>
      <c r="C90" s="1">
        <v>45016.443808113429</v>
      </c>
      <c r="D90">
        <v>39.023099999999999</v>
      </c>
      <c r="E90" s="3">
        <v>45016.443808113429</v>
      </c>
      <c r="F90">
        <f t="shared" si="3"/>
        <v>39224300</v>
      </c>
      <c r="G90">
        <f t="shared" si="4"/>
        <v>88</v>
      </c>
      <c r="H90">
        <f t="shared" si="5"/>
        <v>-200.00000000745058</v>
      </c>
      <c r="I90">
        <v>-38.3033</v>
      </c>
    </row>
    <row r="91" spans="1:9" x14ac:dyDescent="0.2">
      <c r="A91" s="3">
        <v>45016.443819687498</v>
      </c>
      <c r="B91">
        <v>39.425699999999999</v>
      </c>
      <c r="C91" s="1">
        <v>45016.443819687498</v>
      </c>
      <c r="D91">
        <v>39.022799999999997</v>
      </c>
      <c r="E91" s="3">
        <v>45016.443819687498</v>
      </c>
      <c r="F91">
        <f t="shared" si="3"/>
        <v>39224250</v>
      </c>
      <c r="G91">
        <f t="shared" si="4"/>
        <v>89</v>
      </c>
      <c r="H91">
        <f t="shared" si="5"/>
        <v>-50</v>
      </c>
      <c r="I91">
        <v>-38.310200000000002</v>
      </c>
    </row>
    <row r="92" spans="1:9" x14ac:dyDescent="0.2">
      <c r="A92" s="3">
        <v>45016.443831261575</v>
      </c>
      <c r="B92">
        <v>39.425400000000003</v>
      </c>
      <c r="C92" s="1">
        <v>45016.443831261575</v>
      </c>
      <c r="D92">
        <v>39.023000000000003</v>
      </c>
      <c r="E92" s="3">
        <v>45016.443831261575</v>
      </c>
      <c r="F92">
        <f t="shared" si="3"/>
        <v>39224200</v>
      </c>
      <c r="G92">
        <f t="shared" si="4"/>
        <v>90</v>
      </c>
      <c r="H92">
        <f t="shared" si="5"/>
        <v>-50</v>
      </c>
      <c r="I92">
        <v>-38.265900000000002</v>
      </c>
    </row>
    <row r="93" spans="1:9" x14ac:dyDescent="0.2">
      <c r="A93" s="3">
        <v>45016.443842835652</v>
      </c>
      <c r="B93">
        <v>39.425600000000003</v>
      </c>
      <c r="C93" s="1">
        <v>45016.443842835652</v>
      </c>
      <c r="D93">
        <v>39.022799999999997</v>
      </c>
      <c r="E93" s="3">
        <v>45016.443842835652</v>
      </c>
      <c r="F93">
        <f t="shared" si="3"/>
        <v>39224199.999999993</v>
      </c>
      <c r="G93">
        <f t="shared" si="4"/>
        <v>91</v>
      </c>
      <c r="H93">
        <f t="shared" si="5"/>
        <v>0</v>
      </c>
      <c r="I93">
        <v>-38.311999999999998</v>
      </c>
    </row>
    <row r="94" spans="1:9" x14ac:dyDescent="0.2">
      <c r="A94" s="3">
        <v>45016.443854409721</v>
      </c>
      <c r="B94">
        <v>39.4253</v>
      </c>
      <c r="C94" s="1">
        <v>45016.443854409721</v>
      </c>
      <c r="D94">
        <v>39.0229</v>
      </c>
      <c r="E94" s="3">
        <v>45016.443854409721</v>
      </c>
      <c r="F94">
        <f t="shared" si="3"/>
        <v>39224100</v>
      </c>
      <c r="G94">
        <f t="shared" si="4"/>
        <v>92</v>
      </c>
      <c r="H94">
        <f t="shared" si="5"/>
        <v>-99.999999992549419</v>
      </c>
      <c r="I94">
        <v>-38.252099999999999</v>
      </c>
    </row>
    <row r="95" spans="1:9" x14ac:dyDescent="0.2">
      <c r="A95" s="3">
        <v>45016.443865983798</v>
      </c>
      <c r="B95">
        <v>39.4255</v>
      </c>
      <c r="C95" s="1">
        <v>45016.443865983798</v>
      </c>
      <c r="D95">
        <v>39.022799999999997</v>
      </c>
      <c r="E95" s="3">
        <v>45016.443865983798</v>
      </c>
      <c r="F95">
        <f t="shared" si="3"/>
        <v>39224149.999999993</v>
      </c>
      <c r="G95">
        <f t="shared" si="4"/>
        <v>93</v>
      </c>
      <c r="H95">
        <f t="shared" si="5"/>
        <v>49.999999992549419</v>
      </c>
      <c r="I95">
        <v>-38.317700000000002</v>
      </c>
    </row>
    <row r="96" spans="1:9" x14ac:dyDescent="0.2">
      <c r="A96" s="3">
        <v>45016.443877557867</v>
      </c>
      <c r="B96">
        <v>39.425400000000003</v>
      </c>
      <c r="C96" s="1">
        <v>45016.443877557867</v>
      </c>
      <c r="D96">
        <v>39.022799999999997</v>
      </c>
      <c r="E96" s="3">
        <v>45016.443877557867</v>
      </c>
      <c r="F96">
        <f t="shared" si="3"/>
        <v>39224100</v>
      </c>
      <c r="G96">
        <f t="shared" si="4"/>
        <v>94</v>
      </c>
      <c r="H96">
        <f t="shared" si="5"/>
        <v>-49.999999992549419</v>
      </c>
      <c r="I96">
        <v>-38.244500000000002</v>
      </c>
    </row>
    <row r="97" spans="1:9" x14ac:dyDescent="0.2">
      <c r="A97" s="3">
        <v>45016.44388914352</v>
      </c>
      <c r="B97">
        <v>39.425400000000003</v>
      </c>
      <c r="C97" s="1">
        <v>45016.44388914352</v>
      </c>
      <c r="D97">
        <v>39.022799999999997</v>
      </c>
      <c r="E97" s="3">
        <v>45016.44388914352</v>
      </c>
      <c r="F97">
        <f t="shared" si="3"/>
        <v>39224100</v>
      </c>
      <c r="G97">
        <f t="shared" si="4"/>
        <v>95</v>
      </c>
      <c r="H97">
        <f t="shared" si="5"/>
        <v>0</v>
      </c>
      <c r="I97">
        <v>-38.320500000000003</v>
      </c>
    </row>
    <row r="98" spans="1:9" x14ac:dyDescent="0.2">
      <c r="A98" s="3">
        <v>45016.44390071759</v>
      </c>
      <c r="B98">
        <v>39.425400000000003</v>
      </c>
      <c r="C98" s="1">
        <v>45016.44390071759</v>
      </c>
      <c r="D98">
        <v>39.022599999999997</v>
      </c>
      <c r="E98" s="3">
        <v>45016.44390071759</v>
      </c>
      <c r="F98">
        <f t="shared" si="3"/>
        <v>39224000.000000007</v>
      </c>
      <c r="G98">
        <f t="shared" si="4"/>
        <v>96</v>
      </c>
      <c r="H98">
        <f t="shared" si="5"/>
        <v>-99.999999992549419</v>
      </c>
      <c r="I98">
        <v>-38.249099999999999</v>
      </c>
    </row>
    <row r="99" spans="1:9" x14ac:dyDescent="0.2">
      <c r="A99" s="3">
        <v>45016.44391228009</v>
      </c>
      <c r="B99">
        <v>39.4253</v>
      </c>
      <c r="C99" s="1">
        <v>45016.44391228009</v>
      </c>
      <c r="D99">
        <v>39.0227</v>
      </c>
      <c r="E99" s="3">
        <v>45016.44391228009</v>
      </c>
      <c r="F99">
        <f t="shared" si="3"/>
        <v>39224000.000000007</v>
      </c>
      <c r="G99">
        <f t="shared" si="4"/>
        <v>97</v>
      </c>
      <c r="H99">
        <f t="shared" si="5"/>
        <v>0</v>
      </c>
      <c r="I99">
        <v>-38.309600000000003</v>
      </c>
    </row>
    <row r="100" spans="1:9" x14ac:dyDescent="0.2">
      <c r="A100" s="3">
        <v>45016.443923865743</v>
      </c>
      <c r="B100">
        <v>39.425400000000003</v>
      </c>
      <c r="C100" s="1">
        <v>45016.443923865743</v>
      </c>
      <c r="D100">
        <v>39.022599999999997</v>
      </c>
      <c r="E100" s="3">
        <v>45016.443923865743</v>
      </c>
      <c r="F100">
        <f t="shared" si="3"/>
        <v>39224000.000000007</v>
      </c>
      <c r="G100">
        <f t="shared" si="4"/>
        <v>98</v>
      </c>
      <c r="H100">
        <f t="shared" si="5"/>
        <v>0</v>
      </c>
      <c r="I100">
        <v>-38.263800000000003</v>
      </c>
    </row>
    <row r="101" spans="1:9" x14ac:dyDescent="0.2">
      <c r="A101" s="3">
        <v>45016.443935428244</v>
      </c>
      <c r="B101">
        <v>39.425199999999997</v>
      </c>
      <c r="C101" s="1">
        <v>45016.443935428244</v>
      </c>
      <c r="D101">
        <v>39.022599999999997</v>
      </c>
      <c r="E101" s="3">
        <v>45016.443935428244</v>
      </c>
      <c r="F101">
        <f t="shared" si="3"/>
        <v>39223900</v>
      </c>
      <c r="G101">
        <f t="shared" si="4"/>
        <v>99</v>
      </c>
      <c r="H101">
        <f t="shared" si="5"/>
        <v>-100.00000000745058</v>
      </c>
      <c r="I101">
        <v>-38.272199999999998</v>
      </c>
    </row>
    <row r="102" spans="1:9" x14ac:dyDescent="0.2">
      <c r="A102" s="3">
        <v>45016.44394701389</v>
      </c>
      <c r="B102">
        <v>39.4253</v>
      </c>
      <c r="C102" s="1">
        <v>45016.44394701389</v>
      </c>
      <c r="D102">
        <v>39.022500000000001</v>
      </c>
      <c r="E102" s="3">
        <v>45016.44394701389</v>
      </c>
      <c r="F102">
        <f t="shared" si="3"/>
        <v>39223900</v>
      </c>
      <c r="G102">
        <f t="shared" si="4"/>
        <v>100</v>
      </c>
      <c r="H102">
        <f t="shared" si="5"/>
        <v>0</v>
      </c>
      <c r="I102">
        <v>-38.2851</v>
      </c>
    </row>
    <row r="103" spans="1:9" x14ac:dyDescent="0.2">
      <c r="A103" s="3">
        <v>45016.44395857639</v>
      </c>
      <c r="B103">
        <v>39.425199999999997</v>
      </c>
      <c r="C103" s="1">
        <v>45016.44395857639</v>
      </c>
      <c r="D103">
        <v>39.022599999999997</v>
      </c>
      <c r="E103" s="3">
        <v>45016.44395857639</v>
      </c>
      <c r="F103">
        <f t="shared" si="3"/>
        <v>39223900</v>
      </c>
      <c r="G103">
        <f t="shared" si="4"/>
        <v>101</v>
      </c>
      <c r="H103">
        <f t="shared" si="5"/>
        <v>0</v>
      </c>
      <c r="I103">
        <v>-38.256399999999999</v>
      </c>
    </row>
    <row r="104" spans="1:9" x14ac:dyDescent="0.2">
      <c r="A104" s="3">
        <v>45016.44397015046</v>
      </c>
      <c r="B104">
        <v>39.4253</v>
      </c>
      <c r="C104" s="1">
        <v>45016.44397015046</v>
      </c>
      <c r="D104">
        <v>39.022500000000001</v>
      </c>
      <c r="E104" s="3">
        <v>45016.44397015046</v>
      </c>
      <c r="F104">
        <f t="shared" si="3"/>
        <v>39223900</v>
      </c>
      <c r="G104">
        <f t="shared" si="4"/>
        <v>102</v>
      </c>
      <c r="H104">
        <f t="shared" si="5"/>
        <v>0</v>
      </c>
      <c r="I104">
        <v>-38.296700000000001</v>
      </c>
    </row>
    <row r="105" spans="1:9" x14ac:dyDescent="0.2">
      <c r="A105" s="3">
        <v>45016.443981724537</v>
      </c>
      <c r="B105">
        <v>39.4253</v>
      </c>
      <c r="C105" s="1">
        <v>45016.443981724537</v>
      </c>
      <c r="D105">
        <v>39.022399999999998</v>
      </c>
      <c r="E105" s="3">
        <v>45016.443981724537</v>
      </c>
      <c r="F105">
        <f t="shared" si="3"/>
        <v>39223850</v>
      </c>
      <c r="G105">
        <f t="shared" si="4"/>
        <v>103</v>
      </c>
      <c r="H105">
        <f t="shared" si="5"/>
        <v>-50</v>
      </c>
      <c r="I105">
        <v>-38.252000000000002</v>
      </c>
    </row>
    <row r="106" spans="1:9" x14ac:dyDescent="0.2">
      <c r="A106" s="3">
        <v>45016.443993310182</v>
      </c>
      <c r="B106">
        <v>39.4251</v>
      </c>
      <c r="C106" s="1">
        <v>45016.443993310182</v>
      </c>
      <c r="D106">
        <v>39.022500000000001</v>
      </c>
      <c r="E106" s="3">
        <v>45016.443993310182</v>
      </c>
      <c r="F106">
        <f t="shared" si="3"/>
        <v>39223800</v>
      </c>
      <c r="G106">
        <f t="shared" si="4"/>
        <v>104</v>
      </c>
      <c r="H106">
        <f t="shared" si="5"/>
        <v>-50</v>
      </c>
      <c r="I106">
        <v>-38.293300000000002</v>
      </c>
    </row>
    <row r="107" spans="1:9" x14ac:dyDescent="0.2">
      <c r="A107" s="3">
        <v>45016.444004872683</v>
      </c>
      <c r="B107">
        <v>39.425199999999997</v>
      </c>
      <c r="C107" s="1">
        <v>45016.444004872683</v>
      </c>
      <c r="D107">
        <v>39.022399999999998</v>
      </c>
      <c r="E107" s="3">
        <v>45016.444004872683</v>
      </c>
      <c r="F107">
        <f t="shared" si="3"/>
        <v>39223800</v>
      </c>
      <c r="G107">
        <f t="shared" si="4"/>
        <v>105</v>
      </c>
      <c r="H107">
        <f t="shared" si="5"/>
        <v>0</v>
      </c>
      <c r="I107">
        <v>-38.267200000000003</v>
      </c>
    </row>
    <row r="108" spans="1:9" x14ac:dyDescent="0.2">
      <c r="A108" s="3">
        <v>45016.444016458336</v>
      </c>
      <c r="B108">
        <v>39.4251</v>
      </c>
      <c r="C108" s="1">
        <v>45016.444016458336</v>
      </c>
      <c r="D108">
        <v>39.022500000000001</v>
      </c>
      <c r="E108" s="3">
        <v>45016.444016458336</v>
      </c>
      <c r="F108">
        <f t="shared" si="3"/>
        <v>39223800</v>
      </c>
      <c r="G108">
        <f t="shared" si="4"/>
        <v>106</v>
      </c>
      <c r="H108">
        <f t="shared" si="5"/>
        <v>0</v>
      </c>
      <c r="I108">
        <v>-38.263800000000003</v>
      </c>
    </row>
    <row r="109" spans="1:9" x14ac:dyDescent="0.2">
      <c r="A109" s="3">
        <v>45016.444028032405</v>
      </c>
      <c r="B109">
        <v>39.425199999999997</v>
      </c>
      <c r="C109" s="1">
        <v>45016.444028032405</v>
      </c>
      <c r="D109">
        <v>39.022399999999998</v>
      </c>
      <c r="E109" s="3">
        <v>45016.444028032405</v>
      </c>
      <c r="F109">
        <f t="shared" si="3"/>
        <v>39223800</v>
      </c>
      <c r="G109">
        <f t="shared" si="4"/>
        <v>107</v>
      </c>
      <c r="H109">
        <f t="shared" si="5"/>
        <v>0</v>
      </c>
      <c r="I109">
        <v>-38.282400000000003</v>
      </c>
    </row>
    <row r="110" spans="1:9" x14ac:dyDescent="0.2">
      <c r="A110" s="3">
        <v>45016.444039606482</v>
      </c>
      <c r="B110">
        <v>39.4251</v>
      </c>
      <c r="C110" s="1">
        <v>45016.444039606482</v>
      </c>
      <c r="D110">
        <v>39.022300000000001</v>
      </c>
      <c r="E110" s="3">
        <v>45016.444039606482</v>
      </c>
      <c r="F110">
        <f t="shared" si="3"/>
        <v>39223700</v>
      </c>
      <c r="G110">
        <f t="shared" si="4"/>
        <v>108</v>
      </c>
      <c r="H110">
        <f t="shared" si="5"/>
        <v>-100</v>
      </c>
      <c r="I110">
        <v>-38.251100000000001</v>
      </c>
    </row>
    <row r="111" spans="1:9" x14ac:dyDescent="0.2">
      <c r="A111" s="3">
        <v>45016.444051168983</v>
      </c>
      <c r="B111">
        <v>39.4251</v>
      </c>
      <c r="C111" s="1">
        <v>45016.444051168983</v>
      </c>
      <c r="D111">
        <v>39.022399999999998</v>
      </c>
      <c r="E111" s="3">
        <v>45016.444051168983</v>
      </c>
      <c r="F111">
        <f t="shared" si="3"/>
        <v>39223749.999999993</v>
      </c>
      <c r="G111">
        <f t="shared" si="4"/>
        <v>109</v>
      </c>
      <c r="H111">
        <f t="shared" si="5"/>
        <v>49.999999992549419</v>
      </c>
      <c r="I111">
        <v>-38.298099999999998</v>
      </c>
    </row>
    <row r="112" spans="1:9" x14ac:dyDescent="0.2">
      <c r="A112" s="3">
        <v>45016.444062743052</v>
      </c>
      <c r="B112">
        <v>39.4251</v>
      </c>
      <c r="C112" s="1">
        <v>45016.444062743052</v>
      </c>
      <c r="D112">
        <v>39.022300000000001</v>
      </c>
      <c r="E112" s="3">
        <v>45016.444062743052</v>
      </c>
      <c r="F112">
        <f t="shared" si="3"/>
        <v>39223700</v>
      </c>
      <c r="G112">
        <f t="shared" si="4"/>
        <v>110</v>
      </c>
      <c r="H112">
        <f t="shared" si="5"/>
        <v>-49.999999992549419</v>
      </c>
      <c r="I112">
        <v>-38.258800000000001</v>
      </c>
    </row>
    <row r="113" spans="1:9" x14ac:dyDescent="0.2">
      <c r="A113" s="3">
        <v>45016.444074328705</v>
      </c>
      <c r="B113">
        <v>39.424999999999997</v>
      </c>
      <c r="C113" s="1">
        <v>45016.444074328705</v>
      </c>
      <c r="D113">
        <v>39.022300000000001</v>
      </c>
      <c r="E113" s="3">
        <v>45016.444074328705</v>
      </c>
      <c r="F113">
        <f t="shared" si="3"/>
        <v>39223650</v>
      </c>
      <c r="G113">
        <f t="shared" si="4"/>
        <v>111</v>
      </c>
      <c r="H113">
        <f t="shared" si="5"/>
        <v>-50</v>
      </c>
      <c r="I113">
        <v>-38.284599999999998</v>
      </c>
    </row>
    <row r="114" spans="1:9" x14ac:dyDescent="0.2">
      <c r="A114" s="3">
        <v>45016.444085891206</v>
      </c>
      <c r="B114">
        <v>39.4251</v>
      </c>
      <c r="C114" s="1">
        <v>45016.444085891206</v>
      </c>
      <c r="D114">
        <v>39.022300000000001</v>
      </c>
      <c r="E114" s="3">
        <v>45016.444085891206</v>
      </c>
      <c r="F114">
        <f t="shared" si="3"/>
        <v>39223700</v>
      </c>
      <c r="G114">
        <f t="shared" si="4"/>
        <v>112</v>
      </c>
      <c r="H114">
        <f t="shared" si="5"/>
        <v>50</v>
      </c>
      <c r="I114">
        <v>-38.273600000000002</v>
      </c>
    </row>
    <row r="115" spans="1:9" x14ac:dyDescent="0.2">
      <c r="A115" s="3">
        <v>45016.444097465275</v>
      </c>
      <c r="B115">
        <v>39.424999999999997</v>
      </c>
      <c r="C115" s="1">
        <v>45016.444097465275</v>
      </c>
      <c r="D115">
        <v>39.022300000000001</v>
      </c>
      <c r="E115" s="3">
        <v>45016.444097465275</v>
      </c>
      <c r="F115">
        <f t="shared" si="3"/>
        <v>39223650</v>
      </c>
      <c r="G115">
        <f t="shared" si="4"/>
        <v>113</v>
      </c>
      <c r="H115">
        <f t="shared" si="5"/>
        <v>-50</v>
      </c>
      <c r="I115">
        <v>-38.264499999999998</v>
      </c>
    </row>
    <row r="116" spans="1:9" x14ac:dyDescent="0.2">
      <c r="A116" s="3">
        <v>45016.444109050928</v>
      </c>
      <c r="B116">
        <v>39.4251</v>
      </c>
      <c r="C116" s="1">
        <v>45016.444109050928</v>
      </c>
      <c r="D116">
        <v>39.022300000000001</v>
      </c>
      <c r="E116" s="3">
        <v>45016.444109050928</v>
      </c>
      <c r="F116">
        <f t="shared" si="3"/>
        <v>39223700</v>
      </c>
      <c r="G116">
        <f t="shared" si="4"/>
        <v>114</v>
      </c>
      <c r="H116">
        <f t="shared" si="5"/>
        <v>50</v>
      </c>
      <c r="I116">
        <v>-38.288899999999998</v>
      </c>
    </row>
    <row r="117" spans="1:9" x14ac:dyDescent="0.2">
      <c r="A117" s="3">
        <v>45016.444120613429</v>
      </c>
      <c r="B117">
        <v>39.424999999999997</v>
      </c>
      <c r="C117" s="1">
        <v>45016.444120613429</v>
      </c>
      <c r="D117">
        <v>39.022199999999998</v>
      </c>
      <c r="E117" s="3">
        <v>45016.444120613429</v>
      </c>
      <c r="F117">
        <f t="shared" si="3"/>
        <v>39223600</v>
      </c>
      <c r="G117">
        <f t="shared" si="4"/>
        <v>115</v>
      </c>
      <c r="H117">
        <f t="shared" si="5"/>
        <v>-100</v>
      </c>
      <c r="I117">
        <v>-38.256300000000003</v>
      </c>
    </row>
    <row r="118" spans="1:9" x14ac:dyDescent="0.2">
      <c r="A118" s="3">
        <v>45016.444132199074</v>
      </c>
      <c r="B118">
        <v>39.424900000000001</v>
      </c>
      <c r="C118" s="1">
        <v>45016.444132199074</v>
      </c>
      <c r="D118">
        <v>39.022300000000001</v>
      </c>
      <c r="E118" s="3">
        <v>45016.444132199074</v>
      </c>
      <c r="F118">
        <f t="shared" si="3"/>
        <v>39223600.000000007</v>
      </c>
      <c r="G118">
        <f t="shared" si="4"/>
        <v>116</v>
      </c>
      <c r="H118">
        <f t="shared" si="5"/>
        <v>0</v>
      </c>
      <c r="I118">
        <v>-38.292299999999997</v>
      </c>
    </row>
    <row r="119" spans="1:9" x14ac:dyDescent="0.2">
      <c r="A119" s="3">
        <v>45016.444143761575</v>
      </c>
      <c r="B119">
        <v>39.424999999999997</v>
      </c>
      <c r="C119" s="1">
        <v>45016.444143761575</v>
      </c>
      <c r="D119">
        <v>39.022100000000002</v>
      </c>
      <c r="E119" s="3">
        <v>45016.444143761575</v>
      </c>
      <c r="F119">
        <f t="shared" si="3"/>
        <v>39223550</v>
      </c>
      <c r="G119">
        <f t="shared" si="4"/>
        <v>117</v>
      </c>
      <c r="H119">
        <f t="shared" si="5"/>
        <v>-50.000000007450581</v>
      </c>
      <c r="I119">
        <v>-38.262300000000003</v>
      </c>
    </row>
    <row r="120" spans="1:9" x14ac:dyDescent="0.2">
      <c r="A120" s="3">
        <v>45016.444155335645</v>
      </c>
      <c r="B120">
        <v>39.424900000000001</v>
      </c>
      <c r="C120" s="1">
        <v>45016.444155335645</v>
      </c>
      <c r="D120">
        <v>39.022199999999998</v>
      </c>
      <c r="E120" s="3">
        <v>45016.444155335645</v>
      </c>
      <c r="F120">
        <f t="shared" si="3"/>
        <v>39223550</v>
      </c>
      <c r="G120">
        <f t="shared" si="4"/>
        <v>118</v>
      </c>
      <c r="H120">
        <f t="shared" si="5"/>
        <v>0</v>
      </c>
      <c r="I120">
        <v>-38.286499999999997</v>
      </c>
    </row>
    <row r="121" spans="1:9" x14ac:dyDescent="0.2">
      <c r="A121" s="3">
        <v>45016.444166921297</v>
      </c>
      <c r="B121">
        <v>39.424999999999997</v>
      </c>
      <c r="C121" s="1">
        <v>45016.444166921297</v>
      </c>
      <c r="D121">
        <v>39.022100000000002</v>
      </c>
      <c r="E121" s="3">
        <v>45016.444166921297</v>
      </c>
      <c r="F121">
        <f t="shared" si="3"/>
        <v>39223550</v>
      </c>
      <c r="G121">
        <f t="shared" si="4"/>
        <v>119</v>
      </c>
      <c r="H121">
        <f t="shared" si="5"/>
        <v>0</v>
      </c>
      <c r="I121">
        <v>-38.268999999999998</v>
      </c>
    </row>
    <row r="122" spans="1:9" x14ac:dyDescent="0.2">
      <c r="A122" s="3">
        <v>45016.444178483798</v>
      </c>
      <c r="B122">
        <v>39.424799999999998</v>
      </c>
      <c r="C122" s="1">
        <v>45016.444178483798</v>
      </c>
      <c r="D122">
        <v>39.022199999999998</v>
      </c>
      <c r="E122" s="3">
        <v>45016.444178483798</v>
      </c>
      <c r="F122">
        <f t="shared" si="3"/>
        <v>39223500</v>
      </c>
      <c r="G122">
        <f t="shared" si="4"/>
        <v>120</v>
      </c>
      <c r="H122">
        <f t="shared" si="5"/>
        <v>-50</v>
      </c>
      <c r="I122">
        <v>-38.278399999999998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22"/>
  <sheetViews>
    <sheetView topLeftCell="F4" zoomScale="156" zoomScaleNormal="100" workbookViewId="0">
      <selection activeCell="U24" sqref="U24"/>
    </sheetView>
  </sheetViews>
  <sheetFormatPr baseColWidth="10" defaultRowHeight="16" x14ac:dyDescent="0.2"/>
  <cols>
    <col min="1" max="1" width="44.5" style="2" customWidth="1"/>
    <col min="2" max="2" width="31" customWidth="1"/>
    <col min="3" max="3" width="28.33203125" customWidth="1"/>
    <col min="4" max="4" width="34.6640625" customWidth="1"/>
    <col min="5" max="5" width="38.1640625" style="2" customWidth="1"/>
    <col min="6" max="6" width="24.1640625" customWidth="1"/>
    <col min="7" max="7" width="17.5" customWidth="1"/>
    <col min="8" max="8" width="24" customWidth="1"/>
    <col min="9" max="9" width="20" customWidth="1"/>
  </cols>
  <sheetData>
    <row r="1" spans="1:9" x14ac:dyDescent="0.2">
      <c r="A1" s="2" t="s">
        <v>8</v>
      </c>
      <c r="B1" t="s">
        <v>3</v>
      </c>
      <c r="C1" t="s">
        <v>2</v>
      </c>
      <c r="D1" t="s">
        <v>4</v>
      </c>
      <c r="E1" s="2" t="s">
        <v>5</v>
      </c>
      <c r="F1" t="s">
        <v>6</v>
      </c>
      <c r="G1" t="s">
        <v>0</v>
      </c>
      <c r="H1" t="s">
        <v>7</v>
      </c>
      <c r="I1" t="s">
        <v>1</v>
      </c>
    </row>
    <row r="2" spans="1:9" x14ac:dyDescent="0.2">
      <c r="A2" s="3">
        <v>45016.442789594905</v>
      </c>
      <c r="B2">
        <v>39.711399999999998</v>
      </c>
      <c r="C2" s="1">
        <v>45016.442789594905</v>
      </c>
      <c r="D2">
        <v>39.023099999999999</v>
      </c>
      <c r="E2" s="3">
        <v>45016.443773391205</v>
      </c>
      <c r="F2">
        <f>AVERAGE(B87,D2)*1000000</f>
        <v>39224650</v>
      </c>
      <c r="G2">
        <v>0</v>
      </c>
      <c r="H2">
        <v>0</v>
      </c>
      <c r="I2">
        <v>-38.275700000000001</v>
      </c>
    </row>
    <row r="3" spans="1:9" x14ac:dyDescent="0.2">
      <c r="A3" s="3">
        <v>45016.442801180558</v>
      </c>
      <c r="B3">
        <v>39.711399999999998</v>
      </c>
      <c r="C3" s="1">
        <v>45016.442801180558</v>
      </c>
      <c r="D3">
        <v>39.023299999999999</v>
      </c>
      <c r="E3" s="3">
        <v>45016.443784976851</v>
      </c>
      <c r="F3">
        <f>AVERAGE(B88,D3)*1000000</f>
        <v>39224450.000000007</v>
      </c>
      <c r="G3">
        <f t="shared" ref="G3:G37" si="0">G2+1</f>
        <v>1</v>
      </c>
      <c r="H3">
        <f>F3-F2</f>
        <v>-199.99999999254942</v>
      </c>
      <c r="I3">
        <v>-38.335299999999997</v>
      </c>
    </row>
    <row r="4" spans="1:9" x14ac:dyDescent="0.2">
      <c r="A4" s="3">
        <v>45016.442812754627</v>
      </c>
      <c r="B4">
        <v>39.711399999999998</v>
      </c>
      <c r="C4" s="1">
        <v>45016.442812754627</v>
      </c>
      <c r="D4">
        <v>39.023000000000003</v>
      </c>
      <c r="E4" s="3">
        <v>45016.443796539352</v>
      </c>
      <c r="F4">
        <f>AVERAGE(B89,D4)*1000000</f>
        <v>39224500.000000007</v>
      </c>
      <c r="G4">
        <f t="shared" si="0"/>
        <v>2</v>
      </c>
      <c r="H4">
        <f>F4-F3</f>
        <v>50</v>
      </c>
      <c r="I4">
        <v>-38.287300000000002</v>
      </c>
    </row>
    <row r="5" spans="1:9" x14ac:dyDescent="0.2">
      <c r="A5" s="3">
        <v>45016.442824317128</v>
      </c>
      <c r="B5">
        <v>39.711399999999998</v>
      </c>
      <c r="C5" s="1">
        <v>45016.442824317128</v>
      </c>
      <c r="D5">
        <v>39.023099999999999</v>
      </c>
      <c r="E5" s="3">
        <v>45016.443808113429</v>
      </c>
      <c r="F5">
        <f>AVERAGE(B90,D5)*1000000</f>
        <v>39224300</v>
      </c>
      <c r="G5">
        <f t="shared" si="0"/>
        <v>3</v>
      </c>
      <c r="H5">
        <f>F5-F4</f>
        <v>-200.00000000745058</v>
      </c>
      <c r="I5">
        <v>-38.3033</v>
      </c>
    </row>
    <row r="6" spans="1:9" x14ac:dyDescent="0.2">
      <c r="A6" s="3">
        <v>45016.442835891205</v>
      </c>
      <c r="B6">
        <v>39.711399999999998</v>
      </c>
      <c r="C6" s="1">
        <v>45016.442835891205</v>
      </c>
      <c r="D6">
        <v>39.022799999999997</v>
      </c>
      <c r="E6" s="3">
        <v>45016.443819687498</v>
      </c>
      <c r="F6">
        <f>AVERAGE(B91,D6)*1000000</f>
        <v>39224250</v>
      </c>
      <c r="G6">
        <f t="shared" si="0"/>
        <v>4</v>
      </c>
      <c r="H6">
        <f>F6-F5</f>
        <v>-50</v>
      </c>
      <c r="I6">
        <v>-38.310200000000002</v>
      </c>
    </row>
    <row r="7" spans="1:9" x14ac:dyDescent="0.2">
      <c r="A7" s="3">
        <v>45016.442847465281</v>
      </c>
      <c r="B7">
        <v>39.711399999999998</v>
      </c>
      <c r="C7" s="1">
        <v>45016.442847465281</v>
      </c>
      <c r="D7">
        <v>39.023000000000003</v>
      </c>
      <c r="E7" s="3">
        <v>45016.443831261575</v>
      </c>
      <c r="F7">
        <f>AVERAGE(B92,D7)*1000000</f>
        <v>39224200</v>
      </c>
      <c r="G7">
        <f t="shared" si="0"/>
        <v>5</v>
      </c>
      <c r="H7">
        <f>F7-F6</f>
        <v>-50</v>
      </c>
      <c r="I7">
        <v>-38.265900000000002</v>
      </c>
    </row>
    <row r="8" spans="1:9" x14ac:dyDescent="0.2">
      <c r="A8" s="3">
        <v>45016.442859050927</v>
      </c>
      <c r="B8">
        <v>39.711399999999998</v>
      </c>
      <c r="C8" s="1">
        <v>45016.442859050927</v>
      </c>
      <c r="D8">
        <v>39.022799999999997</v>
      </c>
      <c r="E8" s="3">
        <v>45016.443842835652</v>
      </c>
      <c r="F8">
        <f>AVERAGE(B93,D8)*1000000</f>
        <v>39224199.999999993</v>
      </c>
      <c r="G8">
        <f t="shared" si="0"/>
        <v>6</v>
      </c>
      <c r="H8">
        <f>F8-F7</f>
        <v>0</v>
      </c>
      <c r="I8">
        <v>-38.311999999999998</v>
      </c>
    </row>
    <row r="9" spans="1:9" x14ac:dyDescent="0.2">
      <c r="A9" s="3">
        <v>45016.442870624996</v>
      </c>
      <c r="B9">
        <v>39.711399999999998</v>
      </c>
      <c r="C9" s="1">
        <v>45016.442870624996</v>
      </c>
      <c r="D9">
        <v>39.0229</v>
      </c>
      <c r="E9" s="3">
        <v>45016.443854409721</v>
      </c>
      <c r="F9">
        <f>AVERAGE(B94,D9)*1000000</f>
        <v>39224100</v>
      </c>
      <c r="G9">
        <f t="shared" si="0"/>
        <v>7</v>
      </c>
      <c r="H9">
        <f>F9-F8</f>
        <v>-99.999999992549419</v>
      </c>
      <c r="I9">
        <v>-38.252099999999999</v>
      </c>
    </row>
    <row r="10" spans="1:9" x14ac:dyDescent="0.2">
      <c r="A10" s="3">
        <v>45016.442882199073</v>
      </c>
      <c r="B10">
        <v>39.711399999999998</v>
      </c>
      <c r="C10" s="1">
        <v>45016.442882199073</v>
      </c>
      <c r="D10">
        <v>39.022799999999997</v>
      </c>
      <c r="E10" s="3">
        <v>45016.443865983798</v>
      </c>
      <c r="F10">
        <f>AVERAGE(B95,D10)*1000000</f>
        <v>39224149.999999993</v>
      </c>
      <c r="G10">
        <f t="shared" si="0"/>
        <v>8</v>
      </c>
      <c r="H10">
        <f>F10-F9</f>
        <v>49.999999992549419</v>
      </c>
      <c r="I10">
        <v>-38.317700000000002</v>
      </c>
    </row>
    <row r="11" spans="1:9" x14ac:dyDescent="0.2">
      <c r="A11" s="3">
        <v>45016.44289377315</v>
      </c>
      <c r="B11">
        <v>39.711399999999998</v>
      </c>
      <c r="C11" s="1">
        <v>45016.44289377315</v>
      </c>
      <c r="D11">
        <v>39.022799999999997</v>
      </c>
      <c r="E11" s="3">
        <v>45016.443877557867</v>
      </c>
      <c r="F11">
        <f>AVERAGE(B96,D11)*1000000</f>
        <v>39224100</v>
      </c>
      <c r="G11">
        <f t="shared" si="0"/>
        <v>9</v>
      </c>
      <c r="H11">
        <f>F11-F10</f>
        <v>-49.999999992549419</v>
      </c>
      <c r="I11">
        <v>-38.244500000000002</v>
      </c>
    </row>
    <row r="12" spans="1:9" x14ac:dyDescent="0.2">
      <c r="A12" s="3">
        <v>45016.442905347219</v>
      </c>
      <c r="B12">
        <v>39.711399999999998</v>
      </c>
      <c r="C12" s="1">
        <v>45016.442905347219</v>
      </c>
      <c r="D12">
        <v>39.022799999999997</v>
      </c>
      <c r="E12" s="3">
        <v>45016.44388914352</v>
      </c>
      <c r="F12">
        <f>AVERAGE(B97,D12)*1000000</f>
        <v>39224100</v>
      </c>
      <c r="G12">
        <f t="shared" si="0"/>
        <v>10</v>
      </c>
      <c r="H12">
        <f>F12-F11</f>
        <v>0</v>
      </c>
      <c r="I12">
        <v>-38.320500000000003</v>
      </c>
    </row>
    <row r="13" spans="1:9" x14ac:dyDescent="0.2">
      <c r="A13" s="3">
        <v>45016.44291690972</v>
      </c>
      <c r="B13">
        <v>39.711399999999998</v>
      </c>
      <c r="C13" s="1">
        <v>45016.44291690972</v>
      </c>
      <c r="D13">
        <v>39.022599999999997</v>
      </c>
      <c r="E13" s="3">
        <v>45016.44390071759</v>
      </c>
      <c r="F13">
        <f>AVERAGE(B98,D13)*1000000</f>
        <v>39224000.000000007</v>
      </c>
      <c r="G13">
        <f t="shared" si="0"/>
        <v>11</v>
      </c>
      <c r="H13">
        <f>F13-F12</f>
        <v>-99.999999992549419</v>
      </c>
      <c r="I13">
        <v>-38.249099999999999</v>
      </c>
    </row>
    <row r="14" spans="1:9" x14ac:dyDescent="0.2">
      <c r="A14" s="3">
        <v>45016.442928495373</v>
      </c>
      <c r="B14">
        <v>39.711399999999998</v>
      </c>
      <c r="C14" s="1">
        <v>45016.442928495373</v>
      </c>
      <c r="D14">
        <v>39.0227</v>
      </c>
      <c r="E14" s="3">
        <v>45016.44391228009</v>
      </c>
      <c r="F14">
        <f>AVERAGE(B99,D14)*1000000</f>
        <v>39224000.000000007</v>
      </c>
      <c r="G14">
        <f t="shared" si="0"/>
        <v>12</v>
      </c>
      <c r="H14">
        <f>F14-F13</f>
        <v>0</v>
      </c>
      <c r="I14">
        <v>-38.309600000000003</v>
      </c>
    </row>
    <row r="15" spans="1:9" x14ac:dyDescent="0.2">
      <c r="A15" s="3">
        <v>45016.442940057874</v>
      </c>
      <c r="B15">
        <v>39.711399999999998</v>
      </c>
      <c r="C15" s="1">
        <v>45016.442940057874</v>
      </c>
      <c r="D15">
        <v>39.022599999999997</v>
      </c>
      <c r="E15" s="3">
        <v>45016.443923865743</v>
      </c>
      <c r="F15">
        <f>AVERAGE(B100,D15)*1000000</f>
        <v>39224000.000000007</v>
      </c>
      <c r="G15">
        <f t="shared" si="0"/>
        <v>13</v>
      </c>
      <c r="H15">
        <f>F15-F14</f>
        <v>0</v>
      </c>
      <c r="I15">
        <v>-38.263800000000003</v>
      </c>
    </row>
    <row r="16" spans="1:9" x14ac:dyDescent="0.2">
      <c r="A16" s="3">
        <v>45016.442951643519</v>
      </c>
      <c r="B16">
        <v>39.711399999999998</v>
      </c>
      <c r="C16" s="1">
        <v>45016.442951643519</v>
      </c>
      <c r="D16">
        <v>39.022599999999997</v>
      </c>
      <c r="E16" s="3">
        <v>45016.443935428244</v>
      </c>
      <c r="F16">
        <f>AVERAGE(B101,D16)*1000000</f>
        <v>39223900</v>
      </c>
      <c r="G16">
        <f t="shared" si="0"/>
        <v>14</v>
      </c>
      <c r="H16">
        <f>F16-F15</f>
        <v>-100.00000000745058</v>
      </c>
      <c r="I16">
        <v>-38.272199999999998</v>
      </c>
    </row>
    <row r="17" spans="1:9" x14ac:dyDescent="0.2">
      <c r="A17" s="3">
        <v>45016.442963217596</v>
      </c>
      <c r="B17">
        <v>39.711399999999998</v>
      </c>
      <c r="C17" s="1">
        <v>45016.442963217596</v>
      </c>
      <c r="D17">
        <v>39.022500000000001</v>
      </c>
      <c r="E17" s="3">
        <v>45016.44394701389</v>
      </c>
      <c r="F17">
        <f>AVERAGE(B102,D17)*1000000</f>
        <v>39223900</v>
      </c>
      <c r="G17">
        <f t="shared" si="0"/>
        <v>15</v>
      </c>
      <c r="H17">
        <f>F17-F16</f>
        <v>0</v>
      </c>
      <c r="I17">
        <v>-38.2851</v>
      </c>
    </row>
    <row r="18" spans="1:9" x14ac:dyDescent="0.2">
      <c r="A18" s="3">
        <v>45016.442974791666</v>
      </c>
      <c r="B18">
        <v>39.711399999999998</v>
      </c>
      <c r="C18" s="1">
        <v>45016.442974791666</v>
      </c>
      <c r="D18">
        <v>39.022599999999997</v>
      </c>
      <c r="E18" s="3">
        <v>45016.44395857639</v>
      </c>
      <c r="F18">
        <f>AVERAGE(B103,D18)*1000000</f>
        <v>39223900</v>
      </c>
      <c r="G18">
        <f t="shared" si="0"/>
        <v>16</v>
      </c>
      <c r="H18">
        <f>F18-F17</f>
        <v>0</v>
      </c>
      <c r="I18">
        <v>-38.256399999999999</v>
      </c>
    </row>
    <row r="19" spans="1:9" x14ac:dyDescent="0.2">
      <c r="A19" s="3">
        <v>45016.442986354166</v>
      </c>
      <c r="B19">
        <v>39.711399999999998</v>
      </c>
      <c r="C19" s="1">
        <v>45016.442986354166</v>
      </c>
      <c r="D19">
        <v>39.022500000000001</v>
      </c>
      <c r="E19" s="3">
        <v>45016.44397015046</v>
      </c>
      <c r="F19">
        <f>AVERAGE(B104,D19)*1000000</f>
        <v>39223900</v>
      </c>
      <c r="G19">
        <f t="shared" si="0"/>
        <v>17</v>
      </c>
      <c r="H19">
        <f>F19-F18</f>
        <v>0</v>
      </c>
      <c r="I19">
        <v>-38.296700000000001</v>
      </c>
    </row>
    <row r="20" spans="1:9" x14ac:dyDescent="0.2">
      <c r="A20" s="3">
        <v>45016.442997939812</v>
      </c>
      <c r="B20">
        <v>39.711399999999998</v>
      </c>
      <c r="C20" s="1">
        <v>45016.442997939812</v>
      </c>
      <c r="D20">
        <v>39.022399999999998</v>
      </c>
      <c r="E20" s="3">
        <v>45016.443981724537</v>
      </c>
      <c r="F20">
        <f>AVERAGE(B105,D20)*1000000</f>
        <v>39223850</v>
      </c>
      <c r="G20">
        <f t="shared" si="0"/>
        <v>18</v>
      </c>
      <c r="H20">
        <f>F20-F19</f>
        <v>-50</v>
      </c>
      <c r="I20">
        <v>-38.252000000000002</v>
      </c>
    </row>
    <row r="21" spans="1:9" x14ac:dyDescent="0.2">
      <c r="A21" s="3">
        <v>45016.443009502313</v>
      </c>
      <c r="B21">
        <v>39.711399999999998</v>
      </c>
      <c r="C21" s="1">
        <v>45016.443009502313</v>
      </c>
      <c r="D21">
        <v>39.022500000000001</v>
      </c>
      <c r="E21" s="3">
        <v>45016.443993310182</v>
      </c>
      <c r="F21">
        <f>AVERAGE(B106,D21)*1000000</f>
        <v>39223800</v>
      </c>
      <c r="G21">
        <f t="shared" si="0"/>
        <v>19</v>
      </c>
      <c r="H21">
        <f>F21-F20</f>
        <v>-50</v>
      </c>
      <c r="I21">
        <v>-38.293300000000002</v>
      </c>
    </row>
    <row r="22" spans="1:9" x14ac:dyDescent="0.2">
      <c r="A22" s="3">
        <v>45016.443021087965</v>
      </c>
      <c r="B22">
        <v>39.711399999999998</v>
      </c>
      <c r="C22" s="1">
        <v>45016.443021087965</v>
      </c>
      <c r="D22">
        <v>39.022399999999998</v>
      </c>
      <c r="E22" s="3">
        <v>45016.444004872683</v>
      </c>
      <c r="F22">
        <f>AVERAGE(B107,D22)*1000000</f>
        <v>39223800</v>
      </c>
      <c r="G22">
        <f t="shared" si="0"/>
        <v>20</v>
      </c>
      <c r="H22">
        <f>F22-F21</f>
        <v>0</v>
      </c>
      <c r="I22">
        <v>-38.267200000000003</v>
      </c>
    </row>
    <row r="23" spans="1:9" x14ac:dyDescent="0.2">
      <c r="A23" s="3">
        <v>45016.443032650466</v>
      </c>
      <c r="B23">
        <v>39.711399999999998</v>
      </c>
      <c r="C23" s="1">
        <v>45016.443032650466</v>
      </c>
      <c r="D23">
        <v>39.022500000000001</v>
      </c>
      <c r="E23" s="3">
        <v>45016.444016458336</v>
      </c>
      <c r="F23">
        <f>AVERAGE(B108,D23)*1000000</f>
        <v>39223800</v>
      </c>
      <c r="G23">
        <f t="shared" si="0"/>
        <v>21</v>
      </c>
      <c r="H23">
        <f>F23-F22</f>
        <v>0</v>
      </c>
      <c r="I23">
        <v>-38.263800000000003</v>
      </c>
    </row>
    <row r="24" spans="1:9" x14ac:dyDescent="0.2">
      <c r="A24" s="3">
        <v>45016.443044224536</v>
      </c>
      <c r="B24">
        <v>39.711399999999998</v>
      </c>
      <c r="C24" s="1">
        <v>45016.443044224536</v>
      </c>
      <c r="D24">
        <v>39.022399999999998</v>
      </c>
      <c r="E24" s="3">
        <v>45016.444028032405</v>
      </c>
      <c r="F24">
        <f>AVERAGE(B109,D24)*1000000</f>
        <v>39223800</v>
      </c>
      <c r="G24">
        <f t="shared" si="0"/>
        <v>22</v>
      </c>
      <c r="H24">
        <f>F24-F23</f>
        <v>0</v>
      </c>
      <c r="I24">
        <v>-38.282400000000003</v>
      </c>
    </row>
    <row r="25" spans="1:9" x14ac:dyDescent="0.2">
      <c r="A25" s="3">
        <v>45016.443055798612</v>
      </c>
      <c r="B25">
        <v>39.711399999999998</v>
      </c>
      <c r="C25" s="1">
        <v>45016.443055798612</v>
      </c>
      <c r="D25">
        <v>39.022300000000001</v>
      </c>
      <c r="E25" s="3">
        <v>45016.444039606482</v>
      </c>
      <c r="F25">
        <f>AVERAGE(B110,D25)*1000000</f>
        <v>39223700</v>
      </c>
      <c r="G25">
        <f t="shared" si="0"/>
        <v>23</v>
      </c>
      <c r="H25">
        <f>F25-F24</f>
        <v>-100</v>
      </c>
      <c r="I25">
        <v>-38.251100000000001</v>
      </c>
    </row>
    <row r="26" spans="1:9" x14ac:dyDescent="0.2">
      <c r="A26" s="3">
        <v>45016.443067384258</v>
      </c>
      <c r="B26">
        <v>39.711399999999998</v>
      </c>
      <c r="C26" s="1">
        <v>45016.443067384258</v>
      </c>
      <c r="D26">
        <v>39.022399999999998</v>
      </c>
      <c r="E26" s="3">
        <v>45016.444051168983</v>
      </c>
      <c r="F26">
        <f>AVERAGE(B111,D26)*1000000</f>
        <v>39223749.999999993</v>
      </c>
      <c r="G26">
        <f t="shared" si="0"/>
        <v>24</v>
      </c>
      <c r="H26">
        <f>F26-F25</f>
        <v>49.999999992549419</v>
      </c>
      <c r="I26">
        <v>-38.298099999999998</v>
      </c>
    </row>
    <row r="27" spans="1:9" x14ac:dyDescent="0.2">
      <c r="A27" s="3">
        <v>45016.443078946759</v>
      </c>
      <c r="B27">
        <v>39.711399999999998</v>
      </c>
      <c r="C27" s="1">
        <v>45016.443078946759</v>
      </c>
      <c r="D27">
        <v>39.022300000000001</v>
      </c>
      <c r="E27" s="3">
        <v>45016.444062743052</v>
      </c>
      <c r="F27">
        <f>AVERAGE(B112,D27)*1000000</f>
        <v>39223700</v>
      </c>
      <c r="G27">
        <f t="shared" si="0"/>
        <v>25</v>
      </c>
      <c r="H27">
        <f>F27-F26</f>
        <v>-49.999999992549419</v>
      </c>
      <c r="I27">
        <v>-38.258800000000001</v>
      </c>
    </row>
    <row r="28" spans="1:9" x14ac:dyDescent="0.2">
      <c r="A28" s="3">
        <v>45016.443090532404</v>
      </c>
      <c r="B28">
        <v>39.711399999999998</v>
      </c>
      <c r="C28" s="1">
        <v>45016.443090532404</v>
      </c>
      <c r="D28">
        <v>39.022300000000001</v>
      </c>
      <c r="E28" s="3">
        <v>45016.444074328705</v>
      </c>
      <c r="F28">
        <f>AVERAGE(B113,D28)*1000000</f>
        <v>39223650</v>
      </c>
      <c r="G28">
        <f t="shared" si="0"/>
        <v>26</v>
      </c>
      <c r="H28">
        <f>F28-F27</f>
        <v>-50</v>
      </c>
      <c r="I28">
        <v>-38.284599999999998</v>
      </c>
    </row>
    <row r="29" spans="1:9" x14ac:dyDescent="0.2">
      <c r="A29" s="3">
        <v>45016.443102106481</v>
      </c>
      <c r="B29">
        <v>39.711399999999998</v>
      </c>
      <c r="C29" s="1">
        <v>45016.443102106481</v>
      </c>
      <c r="D29">
        <v>39.022300000000001</v>
      </c>
      <c r="E29" s="3">
        <v>45016.444085891206</v>
      </c>
      <c r="F29">
        <f>AVERAGE(B114,D29)*1000000</f>
        <v>39223700</v>
      </c>
      <c r="G29">
        <f t="shared" si="0"/>
        <v>27</v>
      </c>
      <c r="H29">
        <f>F29-F28</f>
        <v>50</v>
      </c>
      <c r="I29">
        <v>-38.273600000000002</v>
      </c>
    </row>
    <row r="30" spans="1:9" x14ac:dyDescent="0.2">
      <c r="A30" s="3">
        <v>45016.443113668982</v>
      </c>
      <c r="B30">
        <v>39.711399999999998</v>
      </c>
      <c r="C30" s="1">
        <v>45016.443113668982</v>
      </c>
      <c r="D30">
        <v>39.022300000000001</v>
      </c>
      <c r="E30" s="3">
        <v>45016.444097465275</v>
      </c>
      <c r="F30">
        <f>AVERAGE(B115,D30)*1000000</f>
        <v>39223650</v>
      </c>
      <c r="G30">
        <f t="shared" si="0"/>
        <v>28</v>
      </c>
      <c r="H30">
        <f>F30-F29</f>
        <v>-50</v>
      </c>
      <c r="I30">
        <v>-38.264499999999998</v>
      </c>
    </row>
    <row r="31" spans="1:9" x14ac:dyDescent="0.2">
      <c r="A31" s="3">
        <v>45016.443125243059</v>
      </c>
      <c r="B31">
        <v>39.711399999999998</v>
      </c>
      <c r="C31" s="1">
        <v>45016.443125243059</v>
      </c>
      <c r="D31">
        <v>39.022300000000001</v>
      </c>
      <c r="E31" s="3">
        <v>45016.444109050928</v>
      </c>
      <c r="F31">
        <f>AVERAGE(B116,D31)*1000000</f>
        <v>39223700</v>
      </c>
      <c r="G31">
        <f t="shared" si="0"/>
        <v>29</v>
      </c>
      <c r="H31">
        <f>F31-F30</f>
        <v>50</v>
      </c>
      <c r="I31">
        <v>-38.288899999999998</v>
      </c>
    </row>
    <row r="32" spans="1:9" x14ac:dyDescent="0.2">
      <c r="A32" s="3">
        <v>45016.443136828704</v>
      </c>
      <c r="B32">
        <v>39.711300000000001</v>
      </c>
      <c r="C32" s="1">
        <v>45016.443136828704</v>
      </c>
      <c r="D32">
        <v>39.022199999999998</v>
      </c>
      <c r="E32" s="3">
        <v>45016.444120613429</v>
      </c>
      <c r="F32">
        <f>AVERAGE(B117,D32)*1000000</f>
        <v>39223600</v>
      </c>
      <c r="G32">
        <f t="shared" si="0"/>
        <v>30</v>
      </c>
      <c r="H32">
        <f>F32-F31</f>
        <v>-100</v>
      </c>
      <c r="I32">
        <v>-38.256300000000003</v>
      </c>
    </row>
    <row r="33" spans="1:9" x14ac:dyDescent="0.2">
      <c r="A33" s="3">
        <v>45016.443148391205</v>
      </c>
      <c r="B33">
        <v>39.711300000000001</v>
      </c>
      <c r="C33" s="1">
        <v>45016.443148391205</v>
      </c>
      <c r="D33">
        <v>39.022300000000001</v>
      </c>
      <c r="E33" s="3">
        <v>45016.444132199074</v>
      </c>
      <c r="F33">
        <f>AVERAGE(B118,D33)*1000000</f>
        <v>39223600.000000007</v>
      </c>
      <c r="G33">
        <f t="shared" si="0"/>
        <v>31</v>
      </c>
      <c r="H33">
        <f>F33-F32</f>
        <v>0</v>
      </c>
      <c r="I33">
        <v>-38.292299999999997</v>
      </c>
    </row>
    <row r="34" spans="1:9" x14ac:dyDescent="0.2">
      <c r="A34" s="3">
        <v>45016.443159965274</v>
      </c>
      <c r="B34">
        <v>39.711399999999998</v>
      </c>
      <c r="C34" s="1">
        <v>45016.443159965274</v>
      </c>
      <c r="D34">
        <v>39.022100000000002</v>
      </c>
      <c r="E34" s="3">
        <v>45016.444143761575</v>
      </c>
      <c r="F34">
        <f>AVERAGE(B119,D34)*1000000</f>
        <v>39223550</v>
      </c>
      <c r="G34">
        <f t="shared" si="0"/>
        <v>32</v>
      </c>
      <c r="H34">
        <f>F34-F33</f>
        <v>-50.000000007450581</v>
      </c>
      <c r="I34">
        <v>-38.262300000000003</v>
      </c>
    </row>
    <row r="35" spans="1:9" x14ac:dyDescent="0.2">
      <c r="A35" s="3">
        <v>45016.443171539351</v>
      </c>
      <c r="B35">
        <v>39.711399999999998</v>
      </c>
      <c r="C35" s="1">
        <v>45016.443171539351</v>
      </c>
      <c r="D35">
        <v>39.022199999999998</v>
      </c>
      <c r="E35" s="3">
        <v>45016.444155335645</v>
      </c>
      <c r="F35">
        <f>AVERAGE(B120,D35)*1000000</f>
        <v>39223550</v>
      </c>
      <c r="G35">
        <f t="shared" si="0"/>
        <v>33</v>
      </c>
      <c r="H35">
        <f>F35-F34</f>
        <v>0</v>
      </c>
      <c r="I35">
        <v>-38.286499999999997</v>
      </c>
    </row>
    <row r="36" spans="1:9" x14ac:dyDescent="0.2">
      <c r="A36" s="3">
        <v>45016.443183113428</v>
      </c>
      <c r="B36">
        <v>39.711399999999998</v>
      </c>
      <c r="C36" s="1">
        <v>45016.443183113428</v>
      </c>
      <c r="D36">
        <v>39.022100000000002</v>
      </c>
      <c r="E36" s="3">
        <v>45016.444166921297</v>
      </c>
      <c r="F36">
        <f>AVERAGE(B121,D36)*1000000</f>
        <v>39223550</v>
      </c>
      <c r="G36">
        <f t="shared" si="0"/>
        <v>34</v>
      </c>
      <c r="H36">
        <f>F36-F35</f>
        <v>0</v>
      </c>
      <c r="I36">
        <v>-38.268999999999998</v>
      </c>
    </row>
    <row r="37" spans="1:9" x14ac:dyDescent="0.2">
      <c r="A37" s="3">
        <v>45016.443194687497</v>
      </c>
      <c r="B37">
        <v>39.711300000000001</v>
      </c>
      <c r="C37" s="1">
        <v>45016.443194687497</v>
      </c>
      <c r="D37">
        <v>39.022199999999998</v>
      </c>
      <c r="E37" s="3">
        <v>45016.444178483798</v>
      </c>
      <c r="F37">
        <f>AVERAGE(B122,D37)*1000000</f>
        <v>39223500</v>
      </c>
      <c r="G37">
        <f t="shared" si="0"/>
        <v>35</v>
      </c>
      <c r="H37">
        <f>F37-F36</f>
        <v>-50</v>
      </c>
      <c r="I37">
        <v>-38.278399999999998</v>
      </c>
    </row>
    <row r="38" spans="1:9" x14ac:dyDescent="0.2">
      <c r="A38" s="3">
        <v>45016.443206261574</v>
      </c>
      <c r="B38">
        <v>39.711300000000001</v>
      </c>
      <c r="C38" s="1">
        <v>45016.443206261574</v>
      </c>
    </row>
    <row r="39" spans="1:9" x14ac:dyDescent="0.2">
      <c r="A39" s="3">
        <v>45016.44321784722</v>
      </c>
      <c r="B39">
        <v>39.711300000000001</v>
      </c>
      <c r="C39" s="1">
        <v>45016.44321784722</v>
      </c>
    </row>
    <row r="40" spans="1:9" x14ac:dyDescent="0.2">
      <c r="A40" s="3">
        <v>45016.443229409721</v>
      </c>
      <c r="B40">
        <v>39.711300000000001</v>
      </c>
      <c r="C40" s="1">
        <v>45016.443229409721</v>
      </c>
    </row>
    <row r="41" spans="1:9" x14ac:dyDescent="0.2">
      <c r="A41" s="3">
        <v>45016.443240995373</v>
      </c>
      <c r="B41">
        <v>39.711300000000001</v>
      </c>
      <c r="C41" s="1">
        <v>45016.443240995373</v>
      </c>
    </row>
    <row r="42" spans="1:9" x14ac:dyDescent="0.2">
      <c r="A42" s="3">
        <v>45016.443252557867</v>
      </c>
      <c r="B42">
        <v>39.711300000000001</v>
      </c>
      <c r="C42" s="1">
        <v>45016.443252557867</v>
      </c>
    </row>
    <row r="43" spans="1:9" x14ac:dyDescent="0.2">
      <c r="A43" s="3">
        <v>45016.443264131944</v>
      </c>
      <c r="B43">
        <v>39.711300000000001</v>
      </c>
      <c r="C43" s="1">
        <v>45016.443264131944</v>
      </c>
    </row>
    <row r="44" spans="1:9" x14ac:dyDescent="0.2">
      <c r="A44" s="3">
        <v>45016.44327570602</v>
      </c>
      <c r="B44">
        <v>39.711300000000001</v>
      </c>
      <c r="C44" s="1">
        <v>45016.44327570602</v>
      </c>
    </row>
    <row r="45" spans="1:9" x14ac:dyDescent="0.2">
      <c r="A45" s="3">
        <v>45016.44328728009</v>
      </c>
      <c r="B45">
        <v>39.711300000000001</v>
      </c>
      <c r="C45" s="1">
        <v>45016.44328728009</v>
      </c>
    </row>
    <row r="46" spans="1:9" x14ac:dyDescent="0.2">
      <c r="A46" s="3">
        <v>45016.443298854167</v>
      </c>
      <c r="B46">
        <v>39.711300000000001</v>
      </c>
      <c r="C46" s="1">
        <v>45016.443298854167</v>
      </c>
    </row>
    <row r="47" spans="1:9" x14ac:dyDescent="0.2">
      <c r="A47" s="3">
        <v>45016.443310439812</v>
      </c>
      <c r="B47">
        <v>39.711300000000001</v>
      </c>
      <c r="C47" s="1">
        <v>45016.443310439812</v>
      </c>
    </row>
    <row r="48" spans="1:9" x14ac:dyDescent="0.2">
      <c r="A48" s="3">
        <v>45016.443322013889</v>
      </c>
      <c r="B48">
        <v>39.711300000000001</v>
      </c>
      <c r="C48" s="1">
        <v>45016.443322013889</v>
      </c>
    </row>
    <row r="49" spans="1:3" x14ac:dyDescent="0.2">
      <c r="A49" s="3">
        <v>45016.443333587966</v>
      </c>
      <c r="B49">
        <v>39.711300000000001</v>
      </c>
      <c r="C49" s="1">
        <v>45016.443333587966</v>
      </c>
    </row>
    <row r="50" spans="1:3" x14ac:dyDescent="0.2">
      <c r="A50" s="3">
        <v>45016.443345162035</v>
      </c>
      <c r="B50">
        <v>39.711300000000001</v>
      </c>
      <c r="C50" s="1">
        <v>45016.443345162035</v>
      </c>
    </row>
    <row r="51" spans="1:3" x14ac:dyDescent="0.2">
      <c r="A51" s="3">
        <v>45016.443356724536</v>
      </c>
      <c r="B51">
        <v>39.711300000000001</v>
      </c>
      <c r="C51" s="1">
        <v>45016.443356724536</v>
      </c>
    </row>
    <row r="52" spans="1:3" x14ac:dyDescent="0.2">
      <c r="A52" s="3">
        <v>45016.443368298613</v>
      </c>
      <c r="B52">
        <v>39.711300000000001</v>
      </c>
      <c r="C52" s="1">
        <v>45016.443368298613</v>
      </c>
    </row>
    <row r="53" spans="1:3" x14ac:dyDescent="0.2">
      <c r="A53" s="3">
        <v>45016.443379884258</v>
      </c>
      <c r="B53">
        <v>39.711300000000001</v>
      </c>
      <c r="C53" s="1">
        <v>45016.443379884258</v>
      </c>
    </row>
    <row r="54" spans="1:3" x14ac:dyDescent="0.2">
      <c r="A54" s="3">
        <v>45016.443391446759</v>
      </c>
      <c r="B54">
        <v>39.711300000000001</v>
      </c>
      <c r="C54" s="1">
        <v>45016.443391446759</v>
      </c>
    </row>
    <row r="55" spans="1:3" x14ac:dyDescent="0.2">
      <c r="A55" s="3">
        <v>45016.443403020836</v>
      </c>
      <c r="B55">
        <v>39.711300000000001</v>
      </c>
      <c r="C55" s="1">
        <v>45016.443403020836</v>
      </c>
    </row>
    <row r="56" spans="1:3" x14ac:dyDescent="0.2">
      <c r="A56" s="3">
        <v>45016.443414594905</v>
      </c>
      <c r="B56">
        <v>39.711300000000001</v>
      </c>
      <c r="C56" s="1">
        <v>45016.443414594905</v>
      </c>
    </row>
    <row r="57" spans="1:3" x14ac:dyDescent="0.2">
      <c r="A57" s="3">
        <v>45016.443426180558</v>
      </c>
      <c r="B57">
        <v>39.711300000000001</v>
      </c>
      <c r="C57" s="1">
        <v>45016.443426180558</v>
      </c>
    </row>
    <row r="58" spans="1:3" x14ac:dyDescent="0.2">
      <c r="A58" s="3">
        <v>45016.443437754628</v>
      </c>
      <c r="B58">
        <v>39.711300000000001</v>
      </c>
      <c r="C58" s="1">
        <v>45016.443437754628</v>
      </c>
    </row>
    <row r="59" spans="1:3" x14ac:dyDescent="0.2">
      <c r="A59" s="3">
        <v>45016.443449317128</v>
      </c>
      <c r="B59">
        <v>39.711300000000001</v>
      </c>
      <c r="C59" s="1">
        <v>45016.443449317128</v>
      </c>
    </row>
    <row r="60" spans="1:3" x14ac:dyDescent="0.2">
      <c r="A60" s="3">
        <v>45016.443460902781</v>
      </c>
      <c r="B60">
        <v>39.711300000000001</v>
      </c>
      <c r="C60" s="1">
        <v>45016.443460902781</v>
      </c>
    </row>
    <row r="61" spans="1:3" x14ac:dyDescent="0.2">
      <c r="A61" s="3">
        <v>45016.443472476851</v>
      </c>
      <c r="B61">
        <v>39.711300000000001</v>
      </c>
      <c r="C61" s="1">
        <v>45016.443472476851</v>
      </c>
    </row>
    <row r="62" spans="1:3" x14ac:dyDescent="0.2">
      <c r="A62" s="3">
        <v>45016.443484039351</v>
      </c>
      <c r="B62">
        <v>39.711300000000001</v>
      </c>
      <c r="C62" s="1">
        <v>45016.443484039351</v>
      </c>
    </row>
    <row r="63" spans="1:3" x14ac:dyDescent="0.2">
      <c r="A63" s="3">
        <v>45016.443495613428</v>
      </c>
      <c r="B63">
        <v>39.711300000000001</v>
      </c>
      <c r="C63" s="1">
        <v>45016.443495613428</v>
      </c>
    </row>
    <row r="64" spans="1:3" x14ac:dyDescent="0.2">
      <c r="A64" s="3">
        <v>45016.443507187498</v>
      </c>
      <c r="B64">
        <v>39.711300000000001</v>
      </c>
      <c r="C64" s="1">
        <v>45016.443507187498</v>
      </c>
    </row>
    <row r="65" spans="1:3" x14ac:dyDescent="0.2">
      <c r="A65" s="3">
        <v>45016.443518761575</v>
      </c>
      <c r="B65">
        <v>39.711300000000001</v>
      </c>
      <c r="C65" s="1">
        <v>45016.443518761575</v>
      </c>
    </row>
    <row r="66" spans="1:3" x14ac:dyDescent="0.2">
      <c r="A66" s="3">
        <v>45016.44353045139</v>
      </c>
      <c r="B66">
        <v>39.711300000000001</v>
      </c>
      <c r="C66" s="1">
        <v>45016.443530439814</v>
      </c>
    </row>
    <row r="67" spans="1:3" x14ac:dyDescent="0.2">
      <c r="A67" s="3">
        <v>45016.443541909721</v>
      </c>
      <c r="B67">
        <v>39.711300000000001</v>
      </c>
      <c r="C67" s="1">
        <v>45016.443541909721</v>
      </c>
    </row>
    <row r="68" spans="1:3" x14ac:dyDescent="0.2">
      <c r="A68" s="3">
        <v>45016.443553483798</v>
      </c>
      <c r="B68">
        <v>39.711300000000001</v>
      </c>
      <c r="C68" s="1">
        <v>45016.443553483798</v>
      </c>
    </row>
    <row r="69" spans="1:3" x14ac:dyDescent="0.2">
      <c r="A69" s="3">
        <v>45016.443565057867</v>
      </c>
      <c r="B69">
        <v>39.711300000000001</v>
      </c>
      <c r="C69" s="1">
        <v>45016.443565057867</v>
      </c>
    </row>
    <row r="70" spans="1:3" x14ac:dyDescent="0.2">
      <c r="A70" s="3">
        <v>45016.443576631944</v>
      </c>
      <c r="B70">
        <v>39.711300000000001</v>
      </c>
      <c r="C70" s="1">
        <v>45016.443576631944</v>
      </c>
    </row>
    <row r="71" spans="1:3" x14ac:dyDescent="0.2">
      <c r="A71" s="3">
        <v>45016.443588206021</v>
      </c>
      <c r="B71">
        <v>39.711300000000001</v>
      </c>
      <c r="C71" s="1">
        <v>45016.443588206021</v>
      </c>
    </row>
    <row r="72" spans="1:3" x14ac:dyDescent="0.2">
      <c r="A72" s="3">
        <v>45016.44359978009</v>
      </c>
      <c r="B72">
        <v>39.711300000000001</v>
      </c>
      <c r="C72" s="1">
        <v>45016.44359978009</v>
      </c>
    </row>
    <row r="73" spans="1:3" x14ac:dyDescent="0.2">
      <c r="A73" s="3">
        <v>45016.443611365743</v>
      </c>
      <c r="B73">
        <v>39.711300000000001</v>
      </c>
      <c r="C73" s="1">
        <v>45016.443611365743</v>
      </c>
    </row>
    <row r="74" spans="1:3" x14ac:dyDescent="0.2">
      <c r="A74" s="3">
        <v>45016.443622939812</v>
      </c>
      <c r="B74">
        <v>39.711300000000001</v>
      </c>
      <c r="C74" s="1">
        <v>45016.443622939812</v>
      </c>
    </row>
    <row r="75" spans="1:3" x14ac:dyDescent="0.2">
      <c r="A75" s="3">
        <v>45016.443634502313</v>
      </c>
      <c r="B75">
        <v>39.711300000000001</v>
      </c>
      <c r="C75" s="1">
        <v>45016.443634502313</v>
      </c>
    </row>
    <row r="76" spans="1:3" x14ac:dyDescent="0.2">
      <c r="A76" s="3">
        <v>45016.44364607639</v>
      </c>
      <c r="B76">
        <v>39.711300000000001</v>
      </c>
      <c r="C76" s="1">
        <v>45016.44364607639</v>
      </c>
    </row>
    <row r="77" spans="1:3" x14ac:dyDescent="0.2">
      <c r="A77" s="3">
        <v>45016.443657662036</v>
      </c>
      <c r="B77">
        <v>39.651299999999999</v>
      </c>
      <c r="C77" s="1">
        <v>45016.443657662036</v>
      </c>
    </row>
    <row r="78" spans="1:3" x14ac:dyDescent="0.2">
      <c r="A78" s="3">
        <v>45016.443669224536</v>
      </c>
      <c r="B78">
        <v>39.598500000000001</v>
      </c>
      <c r="C78" s="1">
        <v>45016.443669224536</v>
      </c>
    </row>
    <row r="79" spans="1:3" x14ac:dyDescent="0.2">
      <c r="A79" s="3">
        <v>45016.443680798613</v>
      </c>
      <c r="B79">
        <v>39.551699999999997</v>
      </c>
      <c r="C79" s="1">
        <v>45016.443680798613</v>
      </c>
    </row>
    <row r="80" spans="1:3" x14ac:dyDescent="0.2">
      <c r="A80" s="3">
        <v>45016.443692384259</v>
      </c>
      <c r="B80">
        <v>39.508699999999997</v>
      </c>
      <c r="C80" s="1">
        <v>45016.443692384259</v>
      </c>
    </row>
    <row r="81" spans="1:3" x14ac:dyDescent="0.2">
      <c r="A81" s="3">
        <v>45016.443703946759</v>
      </c>
      <c r="B81">
        <v>39.472099999999998</v>
      </c>
      <c r="C81" s="1">
        <v>45016.443703946759</v>
      </c>
    </row>
    <row r="82" spans="1:3" x14ac:dyDescent="0.2">
      <c r="A82" s="3">
        <v>45016.443715520836</v>
      </c>
      <c r="B82">
        <v>39.438800000000001</v>
      </c>
      <c r="C82" s="1">
        <v>45016.443715520836</v>
      </c>
    </row>
    <row r="83" spans="1:3" x14ac:dyDescent="0.2">
      <c r="A83" s="3">
        <v>45016.443727094906</v>
      </c>
      <c r="B83">
        <v>39.425699999999999</v>
      </c>
      <c r="C83" s="1">
        <v>45016.443727094906</v>
      </c>
    </row>
    <row r="84" spans="1:3" x14ac:dyDescent="0.2">
      <c r="A84" s="3">
        <v>45016.443738680558</v>
      </c>
      <c r="B84">
        <v>39.425600000000003</v>
      </c>
      <c r="C84" s="1">
        <v>45016.443738680558</v>
      </c>
    </row>
    <row r="85" spans="1:3" x14ac:dyDescent="0.2">
      <c r="A85" s="3">
        <v>45016.443750243059</v>
      </c>
      <c r="B85">
        <v>39.426600000000001</v>
      </c>
      <c r="C85" s="1">
        <v>45016.443750243059</v>
      </c>
    </row>
    <row r="86" spans="1:3" x14ac:dyDescent="0.2">
      <c r="A86" s="3">
        <v>45016.443761817129</v>
      </c>
      <c r="B86">
        <v>39.425600000000003</v>
      </c>
      <c r="C86" s="1">
        <v>45016.443761817129</v>
      </c>
    </row>
    <row r="87" spans="1:3" x14ac:dyDescent="0.2">
      <c r="A87" s="3">
        <v>45016.443773391205</v>
      </c>
      <c r="B87">
        <v>39.426200000000001</v>
      </c>
      <c r="C87" s="1">
        <v>45016.443773391205</v>
      </c>
    </row>
    <row r="88" spans="1:3" x14ac:dyDescent="0.2">
      <c r="A88" s="3">
        <v>45016.443784976851</v>
      </c>
      <c r="B88">
        <v>39.425600000000003</v>
      </c>
      <c r="C88" s="1">
        <v>45016.443784976851</v>
      </c>
    </row>
    <row r="89" spans="1:3" x14ac:dyDescent="0.2">
      <c r="A89" s="3">
        <v>45016.443796539352</v>
      </c>
      <c r="B89">
        <v>39.426000000000002</v>
      </c>
      <c r="C89" s="1">
        <v>45016.443796539352</v>
      </c>
    </row>
    <row r="90" spans="1:3" x14ac:dyDescent="0.2">
      <c r="A90" s="3">
        <v>45016.443808113429</v>
      </c>
      <c r="B90">
        <v>39.4255</v>
      </c>
      <c r="C90" s="1">
        <v>45016.443808113429</v>
      </c>
    </row>
    <row r="91" spans="1:3" x14ac:dyDescent="0.2">
      <c r="A91" s="3">
        <v>45016.443819687498</v>
      </c>
      <c r="B91">
        <v>39.425699999999999</v>
      </c>
      <c r="C91" s="1">
        <v>45016.443819687498</v>
      </c>
    </row>
    <row r="92" spans="1:3" x14ac:dyDescent="0.2">
      <c r="A92" s="3">
        <v>45016.443831261575</v>
      </c>
      <c r="B92">
        <v>39.425400000000003</v>
      </c>
      <c r="C92" s="1">
        <v>45016.443831261575</v>
      </c>
    </row>
    <row r="93" spans="1:3" x14ac:dyDescent="0.2">
      <c r="A93" s="3">
        <v>45016.443842835652</v>
      </c>
      <c r="B93">
        <v>39.425600000000003</v>
      </c>
      <c r="C93" s="1">
        <v>45016.443842835652</v>
      </c>
    </row>
    <row r="94" spans="1:3" x14ac:dyDescent="0.2">
      <c r="A94" s="3">
        <v>45016.443854409721</v>
      </c>
      <c r="B94">
        <v>39.4253</v>
      </c>
      <c r="C94" s="1">
        <v>45016.443854409721</v>
      </c>
    </row>
    <row r="95" spans="1:3" x14ac:dyDescent="0.2">
      <c r="A95" s="3">
        <v>45016.443865983798</v>
      </c>
      <c r="B95">
        <v>39.4255</v>
      </c>
      <c r="C95" s="1">
        <v>45016.443865983798</v>
      </c>
    </row>
    <row r="96" spans="1:3" x14ac:dyDescent="0.2">
      <c r="A96" s="3">
        <v>45016.443877557867</v>
      </c>
      <c r="B96">
        <v>39.425400000000003</v>
      </c>
      <c r="C96" s="1">
        <v>45016.443877557867</v>
      </c>
    </row>
    <row r="97" spans="1:3" x14ac:dyDescent="0.2">
      <c r="A97" s="3">
        <v>45016.44388914352</v>
      </c>
      <c r="B97">
        <v>39.425400000000003</v>
      </c>
      <c r="C97" s="1">
        <v>45016.44388914352</v>
      </c>
    </row>
    <row r="98" spans="1:3" x14ac:dyDescent="0.2">
      <c r="A98" s="3">
        <v>45016.44390071759</v>
      </c>
      <c r="B98">
        <v>39.425400000000003</v>
      </c>
      <c r="C98" s="1">
        <v>45016.44390071759</v>
      </c>
    </row>
    <row r="99" spans="1:3" x14ac:dyDescent="0.2">
      <c r="A99" s="3">
        <v>45016.44391228009</v>
      </c>
      <c r="B99">
        <v>39.4253</v>
      </c>
      <c r="C99" s="1">
        <v>45016.44391228009</v>
      </c>
    </row>
    <row r="100" spans="1:3" x14ac:dyDescent="0.2">
      <c r="A100" s="3">
        <v>45016.443923865743</v>
      </c>
      <c r="B100">
        <v>39.425400000000003</v>
      </c>
      <c r="C100" s="1">
        <v>45016.443923865743</v>
      </c>
    </row>
    <row r="101" spans="1:3" x14ac:dyDescent="0.2">
      <c r="A101" s="3">
        <v>45016.443935428244</v>
      </c>
      <c r="B101">
        <v>39.425199999999997</v>
      </c>
      <c r="C101" s="1">
        <v>45016.443935428244</v>
      </c>
    </row>
    <row r="102" spans="1:3" x14ac:dyDescent="0.2">
      <c r="A102" s="3">
        <v>45016.44394701389</v>
      </c>
      <c r="B102">
        <v>39.4253</v>
      </c>
      <c r="C102" s="1">
        <v>45016.44394701389</v>
      </c>
    </row>
    <row r="103" spans="1:3" x14ac:dyDescent="0.2">
      <c r="A103" s="3">
        <v>45016.44395857639</v>
      </c>
      <c r="B103">
        <v>39.425199999999997</v>
      </c>
      <c r="C103" s="1">
        <v>45016.44395857639</v>
      </c>
    </row>
    <row r="104" spans="1:3" x14ac:dyDescent="0.2">
      <c r="A104" s="3">
        <v>45016.44397015046</v>
      </c>
      <c r="B104">
        <v>39.4253</v>
      </c>
      <c r="C104" s="1">
        <v>45016.44397015046</v>
      </c>
    </row>
    <row r="105" spans="1:3" x14ac:dyDescent="0.2">
      <c r="A105" s="3">
        <v>45016.443981724537</v>
      </c>
      <c r="B105">
        <v>39.4253</v>
      </c>
      <c r="C105" s="1">
        <v>45016.443981724537</v>
      </c>
    </row>
    <row r="106" spans="1:3" x14ac:dyDescent="0.2">
      <c r="A106" s="3">
        <v>45016.443993310182</v>
      </c>
      <c r="B106">
        <v>39.4251</v>
      </c>
      <c r="C106" s="1">
        <v>45016.443993310182</v>
      </c>
    </row>
    <row r="107" spans="1:3" x14ac:dyDescent="0.2">
      <c r="A107" s="3">
        <v>45016.444004872683</v>
      </c>
      <c r="B107">
        <v>39.425199999999997</v>
      </c>
      <c r="C107" s="1">
        <v>45016.444004872683</v>
      </c>
    </row>
    <row r="108" spans="1:3" x14ac:dyDescent="0.2">
      <c r="A108" s="3">
        <v>45016.444016458336</v>
      </c>
      <c r="B108">
        <v>39.4251</v>
      </c>
      <c r="C108" s="1">
        <v>45016.444016458336</v>
      </c>
    </row>
    <row r="109" spans="1:3" x14ac:dyDescent="0.2">
      <c r="A109" s="3">
        <v>45016.444028032405</v>
      </c>
      <c r="B109">
        <v>39.425199999999997</v>
      </c>
      <c r="C109" s="1">
        <v>45016.444028032405</v>
      </c>
    </row>
    <row r="110" spans="1:3" x14ac:dyDescent="0.2">
      <c r="A110" s="3">
        <v>45016.444039606482</v>
      </c>
      <c r="B110">
        <v>39.4251</v>
      </c>
      <c r="C110" s="1">
        <v>45016.444039606482</v>
      </c>
    </row>
    <row r="111" spans="1:3" x14ac:dyDescent="0.2">
      <c r="A111" s="3">
        <v>45016.444051168983</v>
      </c>
      <c r="B111">
        <v>39.4251</v>
      </c>
      <c r="C111" s="1">
        <v>45016.444051168983</v>
      </c>
    </row>
    <row r="112" spans="1:3" x14ac:dyDescent="0.2">
      <c r="A112" s="3">
        <v>45016.444062743052</v>
      </c>
      <c r="B112">
        <v>39.4251</v>
      </c>
      <c r="C112" s="1">
        <v>45016.444062743052</v>
      </c>
    </row>
    <row r="113" spans="1:3" x14ac:dyDescent="0.2">
      <c r="A113" s="3">
        <v>45016.444074328705</v>
      </c>
      <c r="B113">
        <v>39.424999999999997</v>
      </c>
      <c r="C113" s="1">
        <v>45016.444074328705</v>
      </c>
    </row>
    <row r="114" spans="1:3" x14ac:dyDescent="0.2">
      <c r="A114" s="3">
        <v>45016.444085891206</v>
      </c>
      <c r="B114">
        <v>39.4251</v>
      </c>
      <c r="C114" s="1">
        <v>45016.444085891206</v>
      </c>
    </row>
    <row r="115" spans="1:3" x14ac:dyDescent="0.2">
      <c r="A115" s="3">
        <v>45016.444097465275</v>
      </c>
      <c r="B115">
        <v>39.424999999999997</v>
      </c>
      <c r="C115" s="1">
        <v>45016.444097465275</v>
      </c>
    </row>
    <row r="116" spans="1:3" x14ac:dyDescent="0.2">
      <c r="A116" s="3">
        <v>45016.444109050928</v>
      </c>
      <c r="B116">
        <v>39.4251</v>
      </c>
      <c r="C116" s="1">
        <v>45016.444109050928</v>
      </c>
    </row>
    <row r="117" spans="1:3" x14ac:dyDescent="0.2">
      <c r="A117" s="3">
        <v>45016.444120613429</v>
      </c>
      <c r="B117">
        <v>39.424999999999997</v>
      </c>
      <c r="C117" s="1">
        <v>45016.444120613429</v>
      </c>
    </row>
    <row r="118" spans="1:3" x14ac:dyDescent="0.2">
      <c r="A118" s="3">
        <v>45016.444132199074</v>
      </c>
      <c r="B118">
        <v>39.424900000000001</v>
      </c>
      <c r="C118" s="1">
        <v>45016.444132199074</v>
      </c>
    </row>
    <row r="119" spans="1:3" x14ac:dyDescent="0.2">
      <c r="A119" s="3">
        <v>45016.444143761575</v>
      </c>
      <c r="B119">
        <v>39.424999999999997</v>
      </c>
      <c r="C119" s="1">
        <v>45016.444143761575</v>
      </c>
    </row>
    <row r="120" spans="1:3" x14ac:dyDescent="0.2">
      <c r="A120" s="3">
        <v>45016.444155335645</v>
      </c>
      <c r="B120">
        <v>39.424900000000001</v>
      </c>
      <c r="C120" s="1">
        <v>45016.444155335645</v>
      </c>
    </row>
    <row r="121" spans="1:3" x14ac:dyDescent="0.2">
      <c r="A121" s="3">
        <v>45016.444166921297</v>
      </c>
      <c r="B121">
        <v>39.424999999999997</v>
      </c>
      <c r="C121" s="1">
        <v>45016.444166921297</v>
      </c>
    </row>
    <row r="122" spans="1:3" x14ac:dyDescent="0.2">
      <c r="A122" s="3">
        <v>45016.444178483798</v>
      </c>
      <c r="B122">
        <v>39.424799999999998</v>
      </c>
      <c r="C122" s="1">
        <v>45016.444178483798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AC1BA-B133-194D-9ABA-2360CDDB323E}">
  <dimension ref="A1:J140"/>
  <sheetViews>
    <sheetView topLeftCell="G1" workbookViewId="0">
      <selection activeCell="AC24" sqref="AC24"/>
    </sheetView>
  </sheetViews>
  <sheetFormatPr baseColWidth="10" defaultRowHeight="16" x14ac:dyDescent="0.2"/>
  <cols>
    <col min="1" max="1" width="17.5" customWidth="1"/>
    <col min="2" max="2" width="21.6640625" customWidth="1"/>
    <col min="3" max="4" width="30" customWidth="1"/>
    <col min="5" max="6" width="19.6640625" customWidth="1"/>
    <col min="7" max="7" width="37.33203125" customWidth="1"/>
    <col min="8" max="8" width="24.83203125" customWidth="1"/>
    <col min="9" max="9" width="30.33203125" customWidth="1"/>
    <col min="10" max="10" width="19.6640625" customWidth="1"/>
  </cols>
  <sheetData>
    <row r="1" spans="1:10" x14ac:dyDescent="0.2">
      <c r="A1" t="s">
        <v>9</v>
      </c>
      <c r="B1" t="s">
        <v>3</v>
      </c>
      <c r="C1" t="s">
        <v>10</v>
      </c>
      <c r="D1" t="s">
        <v>4</v>
      </c>
      <c r="E1" t="s">
        <v>11</v>
      </c>
      <c r="F1" t="s">
        <v>1</v>
      </c>
      <c r="G1" t="s">
        <v>6</v>
      </c>
      <c r="H1" t="s">
        <v>12</v>
      </c>
      <c r="I1" t="s">
        <v>13</v>
      </c>
      <c r="J1" t="s">
        <v>1</v>
      </c>
    </row>
    <row r="2" spans="1:10" x14ac:dyDescent="0.2">
      <c r="A2" s="1">
        <v>45016.431516458331</v>
      </c>
      <c r="B2">
        <v>39.7102</v>
      </c>
      <c r="C2" s="1">
        <v>45016.431516458331</v>
      </c>
      <c r="D2">
        <v>39.326099999999997</v>
      </c>
      <c r="E2" s="1">
        <v>45016.431516458331</v>
      </c>
      <c r="F2">
        <v>0.52653300000000003</v>
      </c>
      <c r="G2">
        <f>AVERAGE(B2,D2)*1000000</f>
        <v>39518150</v>
      </c>
      <c r="H2">
        <v>0</v>
      </c>
      <c r="I2">
        <v>0</v>
      </c>
      <c r="J2">
        <v>0.52653300000000003</v>
      </c>
    </row>
    <row r="3" spans="1:10" x14ac:dyDescent="0.2">
      <c r="A3" s="1">
        <v>45016.431528020832</v>
      </c>
      <c r="B3">
        <v>39.7102</v>
      </c>
      <c r="C3" s="1">
        <v>45016.431528020832</v>
      </c>
      <c r="D3">
        <v>39.326099999999997</v>
      </c>
      <c r="E3" s="1">
        <v>45016.431528020832</v>
      </c>
      <c r="F3">
        <v>0.52559199999999995</v>
      </c>
      <c r="G3">
        <f t="shared" ref="G3:G66" si="0">AVERAGE(B3,D3)*1000000</f>
        <v>39518150</v>
      </c>
      <c r="H3">
        <f>H2+1</f>
        <v>1</v>
      </c>
      <c r="I3">
        <f>G3-G2</f>
        <v>0</v>
      </c>
      <c r="J3">
        <v>0.52559199999999995</v>
      </c>
    </row>
    <row r="4" spans="1:10" x14ac:dyDescent="0.2">
      <c r="A4" s="1">
        <v>45016.431539606485</v>
      </c>
      <c r="B4">
        <v>39.7102</v>
      </c>
      <c r="C4" s="1">
        <v>45016.431539606485</v>
      </c>
      <c r="D4">
        <v>39.326000000000001</v>
      </c>
      <c r="E4" s="1">
        <v>45016.431539606485</v>
      </c>
      <c r="F4">
        <v>0.52394099999999999</v>
      </c>
      <c r="G4">
        <f t="shared" si="0"/>
        <v>39518100.000000007</v>
      </c>
      <c r="H4">
        <f t="shared" ref="H4:H67" si="1">H3+1</f>
        <v>2</v>
      </c>
      <c r="I4">
        <f t="shared" ref="I4:I67" si="2">G4-G3</f>
        <v>-49.999999992549419</v>
      </c>
      <c r="J4">
        <v>0.52394099999999999</v>
      </c>
    </row>
    <row r="5" spans="1:10" x14ac:dyDescent="0.2">
      <c r="A5" s="1">
        <v>45016.431551168978</v>
      </c>
      <c r="B5">
        <v>39.710099999999997</v>
      </c>
      <c r="C5" s="1">
        <v>45016.431551168978</v>
      </c>
      <c r="D5">
        <v>39.326000000000001</v>
      </c>
      <c r="E5" s="1">
        <v>45016.431551168978</v>
      </c>
      <c r="F5">
        <v>0.52290499999999995</v>
      </c>
      <c r="G5">
        <f t="shared" si="0"/>
        <v>39518050</v>
      </c>
      <c r="H5">
        <f t="shared" si="1"/>
        <v>3</v>
      </c>
      <c r="I5">
        <f t="shared" si="2"/>
        <v>-50.000000007450581</v>
      </c>
      <c r="J5">
        <v>0.52290499999999995</v>
      </c>
    </row>
    <row r="6" spans="1:10" x14ac:dyDescent="0.2">
      <c r="A6" s="1">
        <v>45016.431562743055</v>
      </c>
      <c r="B6">
        <v>39.710099999999997</v>
      </c>
      <c r="C6" s="1">
        <v>45016.431562743055</v>
      </c>
      <c r="D6">
        <v>39.326000000000001</v>
      </c>
      <c r="E6" s="1">
        <v>45016.431562743055</v>
      </c>
      <c r="F6">
        <v>0.52180000000000004</v>
      </c>
      <c r="G6">
        <f t="shared" si="0"/>
        <v>39518050</v>
      </c>
      <c r="H6">
        <f t="shared" si="1"/>
        <v>4</v>
      </c>
      <c r="I6">
        <f t="shared" si="2"/>
        <v>0</v>
      </c>
      <c r="J6">
        <v>0.52180000000000004</v>
      </c>
    </row>
    <row r="7" spans="1:10" x14ac:dyDescent="0.2">
      <c r="A7" s="1">
        <v>45016.431574317132</v>
      </c>
      <c r="B7">
        <v>39.710099999999997</v>
      </c>
      <c r="C7" s="1">
        <v>45016.431574317132</v>
      </c>
      <c r="D7">
        <v>39.326000000000001</v>
      </c>
      <c r="E7" s="1">
        <v>45016.431574317132</v>
      </c>
      <c r="F7">
        <v>0.52073599999999998</v>
      </c>
      <c r="G7">
        <f t="shared" si="0"/>
        <v>39518050</v>
      </c>
      <c r="H7">
        <f t="shared" si="1"/>
        <v>5</v>
      </c>
      <c r="I7">
        <f t="shared" si="2"/>
        <v>0</v>
      </c>
      <c r="J7">
        <v>0.52073599999999998</v>
      </c>
    </row>
    <row r="8" spans="1:10" x14ac:dyDescent="0.2">
      <c r="A8" s="1">
        <v>45016.431585891201</v>
      </c>
      <c r="B8">
        <v>39.710099999999997</v>
      </c>
      <c r="C8" s="1">
        <v>45016.431585891201</v>
      </c>
      <c r="D8">
        <v>39.326000000000001</v>
      </c>
      <c r="E8" s="1">
        <v>45016.431585891201</v>
      </c>
      <c r="F8">
        <v>0.51975400000000005</v>
      </c>
      <c r="G8">
        <f t="shared" si="0"/>
        <v>39518050</v>
      </c>
      <c r="H8">
        <f t="shared" si="1"/>
        <v>6</v>
      </c>
      <c r="I8">
        <f t="shared" si="2"/>
        <v>0</v>
      </c>
      <c r="J8">
        <v>0.51975400000000005</v>
      </c>
    </row>
    <row r="9" spans="1:10" x14ac:dyDescent="0.2">
      <c r="A9" s="1">
        <v>45016.431597465278</v>
      </c>
      <c r="B9">
        <v>39.71</v>
      </c>
      <c r="C9" s="1">
        <v>45016.431597465278</v>
      </c>
      <c r="D9">
        <v>39.326000000000001</v>
      </c>
      <c r="E9" s="1">
        <v>45016.431597465278</v>
      </c>
      <c r="F9">
        <v>0.518567</v>
      </c>
      <c r="G9">
        <f t="shared" si="0"/>
        <v>39518000</v>
      </c>
      <c r="H9">
        <f t="shared" si="1"/>
        <v>7</v>
      </c>
      <c r="I9">
        <f t="shared" si="2"/>
        <v>-50</v>
      </c>
      <c r="J9">
        <v>0.518567</v>
      </c>
    </row>
    <row r="10" spans="1:10" x14ac:dyDescent="0.2">
      <c r="A10" s="1">
        <v>45016.431609039355</v>
      </c>
      <c r="B10">
        <v>39.71</v>
      </c>
      <c r="C10" s="1">
        <v>45016.431609039355</v>
      </c>
      <c r="D10">
        <v>39.326000000000001</v>
      </c>
      <c r="E10" s="1">
        <v>45016.431609039355</v>
      </c>
      <c r="F10">
        <v>0.51759900000000003</v>
      </c>
      <c r="G10">
        <f t="shared" si="0"/>
        <v>39518000</v>
      </c>
      <c r="H10">
        <f t="shared" si="1"/>
        <v>8</v>
      </c>
      <c r="I10">
        <f t="shared" si="2"/>
        <v>0</v>
      </c>
      <c r="J10">
        <v>0.51759900000000003</v>
      </c>
    </row>
    <row r="11" spans="1:10" x14ac:dyDescent="0.2">
      <c r="A11" s="1">
        <v>45016.431620625001</v>
      </c>
      <c r="B11">
        <v>39.71</v>
      </c>
      <c r="C11" s="1">
        <v>45016.431620625001</v>
      </c>
      <c r="D11">
        <v>39.326000000000001</v>
      </c>
      <c r="E11" s="1">
        <v>45016.431620625001</v>
      </c>
      <c r="F11">
        <v>0.51646700000000001</v>
      </c>
      <c r="G11">
        <f t="shared" si="0"/>
        <v>39518000</v>
      </c>
      <c r="H11">
        <f t="shared" si="1"/>
        <v>9</v>
      </c>
      <c r="I11">
        <f t="shared" si="2"/>
        <v>0</v>
      </c>
      <c r="J11">
        <v>0.51646700000000001</v>
      </c>
    </row>
    <row r="12" spans="1:10" x14ac:dyDescent="0.2">
      <c r="A12" s="1">
        <v>45016.431632199077</v>
      </c>
      <c r="B12">
        <v>39.71</v>
      </c>
      <c r="C12" s="1">
        <v>45016.431632199077</v>
      </c>
      <c r="D12">
        <v>39.325899999999997</v>
      </c>
      <c r="E12" s="1">
        <v>45016.431632199077</v>
      </c>
      <c r="F12">
        <v>0.51588000000000001</v>
      </c>
      <c r="G12">
        <f t="shared" si="0"/>
        <v>39517950</v>
      </c>
      <c r="H12">
        <f t="shared" si="1"/>
        <v>10</v>
      </c>
      <c r="I12">
        <f t="shared" si="2"/>
        <v>-50</v>
      </c>
      <c r="J12">
        <v>0.51588000000000001</v>
      </c>
    </row>
    <row r="13" spans="1:10" x14ac:dyDescent="0.2">
      <c r="A13" s="1">
        <v>45016.431643773147</v>
      </c>
      <c r="B13">
        <v>39.71</v>
      </c>
      <c r="C13" s="1">
        <v>45016.431643773147</v>
      </c>
      <c r="D13">
        <v>39.325899999999997</v>
      </c>
      <c r="E13" s="1">
        <v>45016.431643773147</v>
      </c>
      <c r="F13">
        <v>0.51507599999999998</v>
      </c>
      <c r="G13">
        <f t="shared" si="0"/>
        <v>39517950</v>
      </c>
      <c r="H13">
        <f t="shared" si="1"/>
        <v>11</v>
      </c>
      <c r="I13">
        <f t="shared" si="2"/>
        <v>0</v>
      </c>
      <c r="J13">
        <v>0.51507599999999998</v>
      </c>
    </row>
    <row r="14" spans="1:10" x14ac:dyDescent="0.2">
      <c r="A14" s="1">
        <v>45016.431655347224</v>
      </c>
      <c r="B14">
        <v>39.709899999999998</v>
      </c>
      <c r="C14" s="1">
        <v>45016.431655347224</v>
      </c>
      <c r="D14">
        <v>39.325899999999997</v>
      </c>
      <c r="E14" s="1">
        <v>45016.431655347224</v>
      </c>
      <c r="F14">
        <v>0.51447600000000004</v>
      </c>
      <c r="G14">
        <f t="shared" si="0"/>
        <v>39517900</v>
      </c>
      <c r="H14">
        <f t="shared" si="1"/>
        <v>12</v>
      </c>
      <c r="I14">
        <f t="shared" si="2"/>
        <v>-50</v>
      </c>
      <c r="J14">
        <v>0.51447600000000004</v>
      </c>
    </row>
    <row r="15" spans="1:10" x14ac:dyDescent="0.2">
      <c r="A15" s="1">
        <v>45016.431666921293</v>
      </c>
      <c r="B15">
        <v>39.709899999999998</v>
      </c>
      <c r="C15" s="1">
        <v>45016.431666921293</v>
      </c>
      <c r="D15">
        <v>39.325899999999997</v>
      </c>
      <c r="E15" s="1">
        <v>45016.431666921293</v>
      </c>
      <c r="F15">
        <v>0.51360300000000003</v>
      </c>
      <c r="G15">
        <f t="shared" si="0"/>
        <v>39517900</v>
      </c>
      <c r="H15">
        <f t="shared" si="1"/>
        <v>13</v>
      </c>
      <c r="I15">
        <f t="shared" si="2"/>
        <v>0</v>
      </c>
      <c r="J15">
        <v>0.51360300000000003</v>
      </c>
    </row>
    <row r="16" spans="1:10" x14ac:dyDescent="0.2">
      <c r="A16" s="1">
        <v>45016.43167849537</v>
      </c>
      <c r="B16">
        <v>39.709899999999998</v>
      </c>
      <c r="C16" s="1">
        <v>45016.43167849537</v>
      </c>
      <c r="D16">
        <v>39.325899999999997</v>
      </c>
      <c r="E16" s="1">
        <v>45016.43167849537</v>
      </c>
      <c r="F16">
        <v>0.51270199999999999</v>
      </c>
      <c r="G16">
        <f t="shared" si="0"/>
        <v>39517900</v>
      </c>
      <c r="H16">
        <f t="shared" si="1"/>
        <v>14</v>
      </c>
      <c r="I16">
        <f t="shared" si="2"/>
        <v>0</v>
      </c>
      <c r="J16">
        <v>0.51270199999999999</v>
      </c>
    </row>
    <row r="17" spans="1:10" x14ac:dyDescent="0.2">
      <c r="A17" s="1">
        <v>45016.431690057871</v>
      </c>
      <c r="B17">
        <v>39.709899999999998</v>
      </c>
      <c r="C17" s="1">
        <v>45016.431690057871</v>
      </c>
      <c r="D17">
        <v>39.325899999999997</v>
      </c>
      <c r="E17" s="1">
        <v>45016.431690057871</v>
      </c>
      <c r="F17">
        <v>0.51225200000000004</v>
      </c>
      <c r="G17">
        <f t="shared" si="0"/>
        <v>39517900</v>
      </c>
      <c r="H17">
        <f t="shared" si="1"/>
        <v>15</v>
      </c>
      <c r="I17">
        <f t="shared" si="2"/>
        <v>0</v>
      </c>
      <c r="J17">
        <v>0.51225200000000004</v>
      </c>
    </row>
    <row r="18" spans="1:10" x14ac:dyDescent="0.2">
      <c r="A18" s="1">
        <v>45016.431701631947</v>
      </c>
      <c r="B18">
        <v>39.709800000000001</v>
      </c>
      <c r="C18" s="1">
        <v>45016.431701631947</v>
      </c>
      <c r="D18">
        <v>39.325899999999997</v>
      </c>
      <c r="E18" s="1">
        <v>45016.431701631947</v>
      </c>
      <c r="F18">
        <v>0.51139299999999999</v>
      </c>
      <c r="G18">
        <f t="shared" si="0"/>
        <v>39517849.999999993</v>
      </c>
      <c r="H18">
        <f t="shared" si="1"/>
        <v>16</v>
      </c>
      <c r="I18">
        <f t="shared" si="2"/>
        <v>-50.000000007450581</v>
      </c>
      <c r="J18">
        <v>0.51139299999999999</v>
      </c>
    </row>
    <row r="19" spans="1:10" x14ac:dyDescent="0.2">
      <c r="A19" s="1">
        <v>45016.431713206017</v>
      </c>
      <c r="B19">
        <v>39.709800000000001</v>
      </c>
      <c r="C19" s="1">
        <v>45016.431713206017</v>
      </c>
      <c r="D19">
        <v>39.325899999999997</v>
      </c>
      <c r="E19" s="1">
        <v>45016.431713206017</v>
      </c>
      <c r="F19">
        <v>0.51072499999999998</v>
      </c>
      <c r="G19">
        <f t="shared" si="0"/>
        <v>39517849.999999993</v>
      </c>
      <c r="H19">
        <f t="shared" si="1"/>
        <v>17</v>
      </c>
      <c r="I19">
        <f t="shared" si="2"/>
        <v>0</v>
      </c>
      <c r="J19">
        <v>0.51072499999999998</v>
      </c>
    </row>
    <row r="20" spans="1:10" x14ac:dyDescent="0.2">
      <c r="A20" s="1">
        <v>45016.43172479167</v>
      </c>
      <c r="B20">
        <v>39.709800000000001</v>
      </c>
      <c r="C20" s="1">
        <v>45016.43172479167</v>
      </c>
      <c r="D20">
        <v>39.325899999999997</v>
      </c>
      <c r="E20" s="1">
        <v>45016.43172479167</v>
      </c>
      <c r="F20">
        <v>0.51031599999999999</v>
      </c>
      <c r="G20">
        <f t="shared" si="0"/>
        <v>39517849.999999993</v>
      </c>
      <c r="H20">
        <f t="shared" si="1"/>
        <v>18</v>
      </c>
      <c r="I20">
        <f t="shared" si="2"/>
        <v>0</v>
      </c>
      <c r="J20">
        <v>0.51031599999999999</v>
      </c>
    </row>
    <row r="21" spans="1:10" x14ac:dyDescent="0.2">
      <c r="A21" s="1">
        <v>45016.431736365739</v>
      </c>
      <c r="B21">
        <v>39.709800000000001</v>
      </c>
      <c r="C21" s="1">
        <v>45016.431736365739</v>
      </c>
      <c r="D21">
        <v>39.325800000000001</v>
      </c>
      <c r="E21" s="1">
        <v>45016.431736365739</v>
      </c>
      <c r="F21">
        <v>0.50961999999999996</v>
      </c>
      <c r="G21">
        <f t="shared" si="0"/>
        <v>39517800</v>
      </c>
      <c r="H21">
        <f t="shared" si="1"/>
        <v>19</v>
      </c>
      <c r="I21">
        <f t="shared" si="2"/>
        <v>-49.999999992549419</v>
      </c>
      <c r="J21">
        <v>0.50961999999999996</v>
      </c>
    </row>
    <row r="22" spans="1:10" x14ac:dyDescent="0.2">
      <c r="A22" s="1">
        <v>45016.43174792824</v>
      </c>
      <c r="B22">
        <v>39.709800000000001</v>
      </c>
      <c r="C22" s="1">
        <v>45016.43174792824</v>
      </c>
      <c r="D22">
        <v>39.325800000000001</v>
      </c>
      <c r="E22" s="1">
        <v>45016.43174792824</v>
      </c>
      <c r="F22">
        <v>0.50884300000000005</v>
      </c>
      <c r="G22">
        <f t="shared" si="0"/>
        <v>39517800</v>
      </c>
      <c r="H22">
        <f t="shared" si="1"/>
        <v>20</v>
      </c>
      <c r="I22">
        <f t="shared" si="2"/>
        <v>0</v>
      </c>
      <c r="J22">
        <v>0.50884300000000005</v>
      </c>
    </row>
    <row r="23" spans="1:10" x14ac:dyDescent="0.2">
      <c r="A23" s="1">
        <v>45016.431759513885</v>
      </c>
      <c r="B23">
        <v>39.709699999999998</v>
      </c>
      <c r="C23" s="1">
        <v>45016.431759513885</v>
      </c>
      <c r="D23">
        <v>39.325800000000001</v>
      </c>
      <c r="E23" s="1">
        <v>45016.431759513885</v>
      </c>
      <c r="F23">
        <v>0.50827</v>
      </c>
      <c r="G23">
        <f t="shared" si="0"/>
        <v>39517750</v>
      </c>
      <c r="H23">
        <f t="shared" si="1"/>
        <v>21</v>
      </c>
      <c r="I23">
        <f t="shared" si="2"/>
        <v>-50</v>
      </c>
      <c r="J23">
        <v>0.50827</v>
      </c>
    </row>
    <row r="24" spans="1:10" x14ac:dyDescent="0.2">
      <c r="A24" s="1">
        <v>45016.431771087962</v>
      </c>
      <c r="B24">
        <v>39.709699999999998</v>
      </c>
      <c r="C24" s="1">
        <v>45016.431771087962</v>
      </c>
      <c r="D24">
        <v>39.325800000000001</v>
      </c>
      <c r="E24" s="1">
        <v>45016.431771087962</v>
      </c>
      <c r="F24">
        <v>0.507942</v>
      </c>
      <c r="G24">
        <f t="shared" si="0"/>
        <v>39517750</v>
      </c>
      <c r="H24">
        <f t="shared" si="1"/>
        <v>22</v>
      </c>
      <c r="I24">
        <f t="shared" si="2"/>
        <v>0</v>
      </c>
      <c r="J24">
        <v>0.507942</v>
      </c>
    </row>
    <row r="25" spans="1:10" x14ac:dyDescent="0.2">
      <c r="A25" s="1">
        <v>45016.431782650463</v>
      </c>
      <c r="B25">
        <v>39.709699999999998</v>
      </c>
      <c r="C25" s="1">
        <v>45016.431782650463</v>
      </c>
      <c r="D25">
        <v>39.325800000000001</v>
      </c>
      <c r="E25" s="1">
        <v>45016.431782650463</v>
      </c>
      <c r="F25">
        <v>0.50749200000000005</v>
      </c>
      <c r="G25">
        <f t="shared" si="0"/>
        <v>39517750</v>
      </c>
      <c r="H25">
        <f t="shared" si="1"/>
        <v>23</v>
      </c>
      <c r="I25">
        <f t="shared" si="2"/>
        <v>0</v>
      </c>
      <c r="J25">
        <v>0.50749200000000005</v>
      </c>
    </row>
    <row r="26" spans="1:10" x14ac:dyDescent="0.2">
      <c r="A26" s="1">
        <v>45016.431794236109</v>
      </c>
      <c r="B26">
        <v>39.709699999999998</v>
      </c>
      <c r="C26" s="1">
        <v>45016.431794236109</v>
      </c>
      <c r="D26">
        <v>39.325800000000001</v>
      </c>
      <c r="E26" s="1">
        <v>45016.431794236109</v>
      </c>
      <c r="F26">
        <v>0.50676900000000002</v>
      </c>
      <c r="G26">
        <f t="shared" si="0"/>
        <v>39517750</v>
      </c>
      <c r="H26">
        <f t="shared" si="1"/>
        <v>24</v>
      </c>
      <c r="I26">
        <f t="shared" si="2"/>
        <v>0</v>
      </c>
      <c r="J26">
        <v>0.50676900000000002</v>
      </c>
    </row>
    <row r="27" spans="1:10" x14ac:dyDescent="0.2">
      <c r="A27" s="1">
        <v>45016.431805798609</v>
      </c>
      <c r="B27">
        <v>39.709699999999998</v>
      </c>
      <c r="C27" s="1">
        <v>45016.431805798609</v>
      </c>
      <c r="D27">
        <v>39.325800000000001</v>
      </c>
      <c r="E27" s="1">
        <v>45016.431805798609</v>
      </c>
      <c r="F27">
        <v>0.50634699999999999</v>
      </c>
      <c r="G27">
        <f t="shared" si="0"/>
        <v>39517750</v>
      </c>
      <c r="H27">
        <f t="shared" si="1"/>
        <v>25</v>
      </c>
      <c r="I27">
        <f t="shared" si="2"/>
        <v>0</v>
      </c>
      <c r="J27">
        <v>0.50634699999999999</v>
      </c>
    </row>
    <row r="28" spans="1:10" x14ac:dyDescent="0.2">
      <c r="A28" s="1">
        <v>45016.431817372686</v>
      </c>
      <c r="B28">
        <v>39.709699999999998</v>
      </c>
      <c r="C28" s="1">
        <v>45016.431817372686</v>
      </c>
      <c r="D28">
        <v>39.325800000000001</v>
      </c>
      <c r="E28" s="1">
        <v>45016.431817372686</v>
      </c>
      <c r="F28">
        <v>0.50556900000000005</v>
      </c>
      <c r="G28">
        <f t="shared" si="0"/>
        <v>39517750</v>
      </c>
      <c r="H28">
        <f t="shared" si="1"/>
        <v>26</v>
      </c>
      <c r="I28">
        <f t="shared" si="2"/>
        <v>0</v>
      </c>
      <c r="J28">
        <v>0.50556900000000005</v>
      </c>
    </row>
    <row r="29" spans="1:10" x14ac:dyDescent="0.2">
      <c r="A29" s="1">
        <v>45016.431828946763</v>
      </c>
      <c r="B29">
        <v>39.709699999999998</v>
      </c>
      <c r="C29" s="1">
        <v>45016.431828946763</v>
      </c>
      <c r="D29">
        <v>39.325800000000001</v>
      </c>
      <c r="E29" s="1">
        <v>45016.431828946763</v>
      </c>
      <c r="F29">
        <v>0.50505100000000003</v>
      </c>
      <c r="G29">
        <f t="shared" si="0"/>
        <v>39517750</v>
      </c>
      <c r="H29">
        <f t="shared" si="1"/>
        <v>27</v>
      </c>
      <c r="I29">
        <f t="shared" si="2"/>
        <v>0</v>
      </c>
      <c r="J29">
        <v>0.50505100000000003</v>
      </c>
    </row>
    <row r="30" spans="1:10" x14ac:dyDescent="0.2">
      <c r="A30" s="1">
        <v>45016.431840520832</v>
      </c>
      <c r="B30">
        <v>39.709600000000002</v>
      </c>
      <c r="C30" s="1">
        <v>45016.431840520832</v>
      </c>
      <c r="D30">
        <v>39.325800000000001</v>
      </c>
      <c r="E30" s="1">
        <v>45016.431840520832</v>
      </c>
      <c r="F30">
        <v>0.504355</v>
      </c>
      <c r="G30">
        <f t="shared" si="0"/>
        <v>39517700.000000007</v>
      </c>
      <c r="H30">
        <f t="shared" si="1"/>
        <v>28</v>
      </c>
      <c r="I30">
        <f t="shared" si="2"/>
        <v>-49.999999992549419</v>
      </c>
      <c r="J30">
        <v>0.504355</v>
      </c>
    </row>
    <row r="31" spans="1:10" x14ac:dyDescent="0.2">
      <c r="A31" s="1">
        <v>45016.43185241898</v>
      </c>
      <c r="B31">
        <v>39.709600000000002</v>
      </c>
      <c r="C31" s="1">
        <v>45016.43185241898</v>
      </c>
      <c r="D31">
        <v>39.325800000000001</v>
      </c>
      <c r="E31" s="1">
        <v>45016.43185241898</v>
      </c>
      <c r="F31">
        <v>0.50412299999999999</v>
      </c>
      <c r="G31">
        <f t="shared" si="0"/>
        <v>39517700.000000007</v>
      </c>
      <c r="H31">
        <f t="shared" si="1"/>
        <v>29</v>
      </c>
      <c r="I31">
        <f t="shared" si="2"/>
        <v>0</v>
      </c>
      <c r="J31">
        <v>0.50412299999999999</v>
      </c>
    </row>
    <row r="32" spans="1:10" x14ac:dyDescent="0.2">
      <c r="A32" s="1">
        <v>45016.431863668979</v>
      </c>
      <c r="B32">
        <v>39.746699999999997</v>
      </c>
      <c r="C32" s="1">
        <v>45016.431863668979</v>
      </c>
      <c r="D32">
        <v>39.365299999999998</v>
      </c>
      <c r="E32" s="1">
        <v>45016.431863668979</v>
      </c>
      <c r="F32">
        <v>4.2048100000000002</v>
      </c>
      <c r="G32">
        <f t="shared" si="0"/>
        <v>39556000</v>
      </c>
      <c r="H32">
        <f t="shared" si="1"/>
        <v>30</v>
      </c>
      <c r="I32">
        <f t="shared" si="2"/>
        <v>38299.999999992549</v>
      </c>
      <c r="J32">
        <v>4.2048100000000002</v>
      </c>
    </row>
    <row r="33" spans="1:10" x14ac:dyDescent="0.2">
      <c r="A33" s="1">
        <v>45016.431875254631</v>
      </c>
      <c r="B33">
        <v>39.811300000000003</v>
      </c>
      <c r="C33" s="1">
        <v>45016.431875254631</v>
      </c>
      <c r="D33">
        <v>39.418399999999998</v>
      </c>
      <c r="E33" s="1">
        <v>45016.431875254631</v>
      </c>
      <c r="F33">
        <v>12.3771</v>
      </c>
      <c r="G33">
        <f t="shared" si="0"/>
        <v>39614850.000000007</v>
      </c>
      <c r="H33">
        <f t="shared" si="1"/>
        <v>31</v>
      </c>
      <c r="I33">
        <f t="shared" si="2"/>
        <v>58850.000000007451</v>
      </c>
      <c r="J33">
        <v>12.3771</v>
      </c>
    </row>
    <row r="34" spans="1:10" x14ac:dyDescent="0.2">
      <c r="A34" s="1">
        <v>45016.431886817132</v>
      </c>
      <c r="B34">
        <v>39.880400000000002</v>
      </c>
      <c r="C34" s="1">
        <v>45016.431886817132</v>
      </c>
      <c r="D34">
        <v>39.479900000000001</v>
      </c>
      <c r="E34" s="1">
        <v>45016.431886817132</v>
      </c>
      <c r="F34">
        <v>20.060500000000001</v>
      </c>
      <c r="G34">
        <f t="shared" si="0"/>
        <v>39680150</v>
      </c>
      <c r="H34">
        <f t="shared" si="1"/>
        <v>32</v>
      </c>
      <c r="I34">
        <f t="shared" si="2"/>
        <v>65299.999999992549</v>
      </c>
      <c r="J34">
        <v>20.060500000000001</v>
      </c>
    </row>
    <row r="35" spans="1:10" x14ac:dyDescent="0.2">
      <c r="A35" s="1">
        <v>45016.431898391202</v>
      </c>
      <c r="B35">
        <v>39.946399999999997</v>
      </c>
      <c r="C35" s="1">
        <v>45016.431898391202</v>
      </c>
      <c r="D35">
        <v>39.540799999999997</v>
      </c>
      <c r="E35" s="1">
        <v>45016.431898391202</v>
      </c>
      <c r="F35">
        <v>27.1921</v>
      </c>
      <c r="G35">
        <f t="shared" si="0"/>
        <v>39743600</v>
      </c>
      <c r="H35">
        <f t="shared" si="1"/>
        <v>33</v>
      </c>
      <c r="I35">
        <f t="shared" si="2"/>
        <v>63450</v>
      </c>
      <c r="J35">
        <v>27.1921</v>
      </c>
    </row>
    <row r="36" spans="1:10" x14ac:dyDescent="0.2">
      <c r="A36" s="1">
        <v>45016.431909976855</v>
      </c>
      <c r="B36">
        <v>40.006</v>
      </c>
      <c r="C36" s="1">
        <v>45016.431909976855</v>
      </c>
      <c r="D36">
        <v>39.600099999999998</v>
      </c>
      <c r="E36" s="1">
        <v>45016.431909976855</v>
      </c>
      <c r="F36">
        <v>33.661900000000003</v>
      </c>
      <c r="G36">
        <f t="shared" si="0"/>
        <v>39803050</v>
      </c>
      <c r="H36">
        <f t="shared" si="1"/>
        <v>34</v>
      </c>
      <c r="I36">
        <f t="shared" si="2"/>
        <v>59450</v>
      </c>
      <c r="J36">
        <v>33.661900000000003</v>
      </c>
    </row>
    <row r="37" spans="1:10" x14ac:dyDescent="0.2">
      <c r="A37" s="1">
        <v>45016.431921539355</v>
      </c>
      <c r="B37">
        <v>40.036299999999997</v>
      </c>
      <c r="C37" s="1">
        <v>45016.431921539355</v>
      </c>
      <c r="D37">
        <v>39.632399999999997</v>
      </c>
      <c r="E37" s="1">
        <v>45016.431921539355</v>
      </c>
      <c r="F37">
        <v>38.595799999999997</v>
      </c>
      <c r="G37">
        <f t="shared" si="0"/>
        <v>39834350</v>
      </c>
      <c r="H37">
        <f t="shared" si="1"/>
        <v>35</v>
      </c>
      <c r="I37">
        <f t="shared" si="2"/>
        <v>31300</v>
      </c>
      <c r="J37">
        <v>38.595799999999997</v>
      </c>
    </row>
    <row r="38" spans="1:10" x14ac:dyDescent="0.2">
      <c r="A38" s="1">
        <v>45016.431933113425</v>
      </c>
      <c r="B38">
        <v>40.029200000000003</v>
      </c>
      <c r="C38" s="1">
        <v>45016.431933113425</v>
      </c>
      <c r="D38">
        <v>39.625999999999998</v>
      </c>
      <c r="E38" s="1">
        <v>45016.431933113425</v>
      </c>
      <c r="F38">
        <v>37.8369</v>
      </c>
      <c r="G38">
        <f t="shared" si="0"/>
        <v>39827600.000000007</v>
      </c>
      <c r="H38">
        <f t="shared" si="1"/>
        <v>36</v>
      </c>
      <c r="I38">
        <f t="shared" si="2"/>
        <v>-6749.9999999925494</v>
      </c>
      <c r="J38">
        <v>37.8369</v>
      </c>
    </row>
    <row r="39" spans="1:10" x14ac:dyDescent="0.2">
      <c r="A39" s="1">
        <v>45016.431944699078</v>
      </c>
      <c r="B39">
        <v>40.028199999999998</v>
      </c>
      <c r="C39" s="1">
        <v>45016.431944699078</v>
      </c>
      <c r="D39">
        <v>39.625</v>
      </c>
      <c r="E39" s="1">
        <v>45016.431944699078</v>
      </c>
      <c r="F39">
        <v>37.972799999999999</v>
      </c>
      <c r="G39">
        <f t="shared" si="0"/>
        <v>39826600</v>
      </c>
      <c r="H39">
        <f t="shared" si="1"/>
        <v>37</v>
      </c>
      <c r="I39">
        <f t="shared" si="2"/>
        <v>-1000.0000000074506</v>
      </c>
      <c r="J39">
        <v>37.972799999999999</v>
      </c>
    </row>
    <row r="40" spans="1:10" x14ac:dyDescent="0.2">
      <c r="A40" s="1">
        <v>45016.431956261571</v>
      </c>
      <c r="B40">
        <v>40.028599999999997</v>
      </c>
      <c r="C40" s="1">
        <v>45016.431956261571</v>
      </c>
      <c r="D40">
        <v>39.625500000000002</v>
      </c>
      <c r="E40" s="1">
        <v>45016.431956261571</v>
      </c>
      <c r="F40">
        <v>37.975000000000001</v>
      </c>
      <c r="G40">
        <f t="shared" si="0"/>
        <v>39827050</v>
      </c>
      <c r="H40">
        <f t="shared" si="1"/>
        <v>38</v>
      </c>
      <c r="I40">
        <f t="shared" si="2"/>
        <v>450</v>
      </c>
      <c r="J40">
        <v>37.975000000000001</v>
      </c>
    </row>
    <row r="41" spans="1:10" x14ac:dyDescent="0.2">
      <c r="A41" s="1">
        <v>45016.431967835648</v>
      </c>
      <c r="B41">
        <v>40.028799999999997</v>
      </c>
      <c r="C41" s="1">
        <v>45016.431967835648</v>
      </c>
      <c r="D41">
        <v>39.625599999999999</v>
      </c>
      <c r="E41" s="1">
        <v>45016.431967835648</v>
      </c>
      <c r="F41">
        <v>37.926499999999997</v>
      </c>
      <c r="G41">
        <f t="shared" si="0"/>
        <v>39827200</v>
      </c>
      <c r="H41">
        <f t="shared" si="1"/>
        <v>39</v>
      </c>
      <c r="I41">
        <f t="shared" si="2"/>
        <v>150</v>
      </c>
      <c r="J41">
        <v>37.926499999999997</v>
      </c>
    </row>
    <row r="42" spans="1:10" x14ac:dyDescent="0.2">
      <c r="A42" s="1">
        <v>45016.431979409725</v>
      </c>
      <c r="B42">
        <v>40.028500000000001</v>
      </c>
      <c r="C42" s="1">
        <v>45016.431979409725</v>
      </c>
      <c r="D42">
        <v>39.625300000000003</v>
      </c>
      <c r="E42" s="1">
        <v>45016.431979409725</v>
      </c>
      <c r="F42">
        <v>37.944400000000002</v>
      </c>
      <c r="G42">
        <f t="shared" si="0"/>
        <v>39826900</v>
      </c>
      <c r="H42">
        <f t="shared" si="1"/>
        <v>40</v>
      </c>
      <c r="I42">
        <f t="shared" si="2"/>
        <v>-300</v>
      </c>
      <c r="J42">
        <v>37.944400000000002</v>
      </c>
    </row>
    <row r="43" spans="1:10" x14ac:dyDescent="0.2">
      <c r="A43" s="1">
        <v>45016.431990983794</v>
      </c>
      <c r="B43">
        <v>40.028700000000001</v>
      </c>
      <c r="C43" s="1">
        <v>45016.431990983794</v>
      </c>
      <c r="D43">
        <v>39.625500000000002</v>
      </c>
      <c r="E43" s="1">
        <v>45016.431990983794</v>
      </c>
      <c r="F43">
        <v>37.948900000000002</v>
      </c>
      <c r="G43">
        <f t="shared" si="0"/>
        <v>39827100</v>
      </c>
      <c r="H43">
        <f t="shared" si="1"/>
        <v>41</v>
      </c>
      <c r="I43">
        <f t="shared" si="2"/>
        <v>200</v>
      </c>
      <c r="J43">
        <v>37.948900000000002</v>
      </c>
    </row>
    <row r="44" spans="1:10" x14ac:dyDescent="0.2">
      <c r="A44" s="1">
        <v>45016.432002569447</v>
      </c>
      <c r="B44">
        <v>40.028500000000001</v>
      </c>
      <c r="C44" s="1">
        <v>45016.432002569447</v>
      </c>
      <c r="D44">
        <v>39.625300000000003</v>
      </c>
      <c r="E44" s="1">
        <v>45016.432002569447</v>
      </c>
      <c r="F44">
        <v>37.918399999999998</v>
      </c>
      <c r="G44">
        <f t="shared" si="0"/>
        <v>39826900</v>
      </c>
      <c r="H44">
        <f t="shared" si="1"/>
        <v>42</v>
      </c>
      <c r="I44">
        <f t="shared" si="2"/>
        <v>-200</v>
      </c>
      <c r="J44">
        <v>37.918399999999998</v>
      </c>
    </row>
    <row r="45" spans="1:10" x14ac:dyDescent="0.2">
      <c r="A45" s="1">
        <v>45016.432014143516</v>
      </c>
      <c r="B45">
        <v>40.028700000000001</v>
      </c>
      <c r="C45" s="1">
        <v>45016.432014143516</v>
      </c>
      <c r="D45">
        <v>39.625500000000002</v>
      </c>
      <c r="E45" s="1">
        <v>45016.432014143516</v>
      </c>
      <c r="F45">
        <v>37.951999999999998</v>
      </c>
      <c r="G45">
        <f t="shared" si="0"/>
        <v>39827100</v>
      </c>
      <c r="H45">
        <f t="shared" si="1"/>
        <v>43</v>
      </c>
      <c r="I45">
        <f t="shared" si="2"/>
        <v>200</v>
      </c>
      <c r="J45">
        <v>37.951999999999998</v>
      </c>
    </row>
    <row r="46" spans="1:10" x14ac:dyDescent="0.2">
      <c r="A46" s="1">
        <v>45016.432025706017</v>
      </c>
      <c r="B46">
        <v>40.028500000000001</v>
      </c>
      <c r="C46" s="1">
        <v>45016.432025706017</v>
      </c>
      <c r="D46">
        <v>39.625300000000003</v>
      </c>
      <c r="E46" s="1">
        <v>45016.432025706017</v>
      </c>
      <c r="F46">
        <v>37.915300000000002</v>
      </c>
      <c r="G46">
        <f t="shared" si="0"/>
        <v>39826900</v>
      </c>
      <c r="H46">
        <f t="shared" si="1"/>
        <v>44</v>
      </c>
      <c r="I46">
        <f t="shared" si="2"/>
        <v>-200</v>
      </c>
      <c r="J46">
        <v>37.915300000000002</v>
      </c>
    </row>
    <row r="47" spans="1:10" x14ac:dyDescent="0.2">
      <c r="A47" s="1">
        <v>45016.432037280094</v>
      </c>
      <c r="B47">
        <v>40.028700000000001</v>
      </c>
      <c r="C47" s="1">
        <v>45016.432037280094</v>
      </c>
      <c r="D47">
        <v>39.625500000000002</v>
      </c>
      <c r="E47" s="1">
        <v>45016.432037280094</v>
      </c>
      <c r="F47">
        <v>37.939</v>
      </c>
      <c r="G47">
        <f t="shared" si="0"/>
        <v>39827100</v>
      </c>
      <c r="H47">
        <f t="shared" si="1"/>
        <v>45</v>
      </c>
      <c r="I47">
        <f t="shared" si="2"/>
        <v>200</v>
      </c>
      <c r="J47">
        <v>37.939</v>
      </c>
    </row>
    <row r="48" spans="1:10" x14ac:dyDescent="0.2">
      <c r="A48" s="1">
        <v>45016.432048854163</v>
      </c>
      <c r="B48">
        <v>40.028500000000001</v>
      </c>
      <c r="C48" s="1">
        <v>45016.432048854163</v>
      </c>
      <c r="D48">
        <v>39.625399999999999</v>
      </c>
      <c r="E48" s="1">
        <v>45016.432048854163</v>
      </c>
      <c r="F48">
        <v>37.903700000000001</v>
      </c>
      <c r="G48">
        <f t="shared" si="0"/>
        <v>39826950</v>
      </c>
      <c r="H48">
        <f t="shared" si="1"/>
        <v>46</v>
      </c>
      <c r="I48">
        <f t="shared" si="2"/>
        <v>-150</v>
      </c>
      <c r="J48">
        <v>37.903700000000001</v>
      </c>
    </row>
    <row r="49" spans="1:10" x14ac:dyDescent="0.2">
      <c r="A49" s="1">
        <v>45016.432060439816</v>
      </c>
      <c r="B49">
        <v>40.028599999999997</v>
      </c>
      <c r="C49" s="1">
        <v>45016.432060439816</v>
      </c>
      <c r="D49">
        <v>39.625399999999999</v>
      </c>
      <c r="E49" s="1">
        <v>45016.432060439816</v>
      </c>
      <c r="F49">
        <v>37.940600000000003</v>
      </c>
      <c r="G49">
        <f t="shared" si="0"/>
        <v>39827000</v>
      </c>
      <c r="H49">
        <f t="shared" si="1"/>
        <v>47</v>
      </c>
      <c r="I49">
        <f t="shared" si="2"/>
        <v>50</v>
      </c>
      <c r="J49">
        <v>37.940600000000003</v>
      </c>
    </row>
    <row r="50" spans="1:10" x14ac:dyDescent="0.2">
      <c r="A50" s="1">
        <v>45016.432072002317</v>
      </c>
      <c r="B50">
        <v>40.028700000000001</v>
      </c>
      <c r="C50" s="1">
        <v>45016.432072002317</v>
      </c>
      <c r="D50">
        <v>39.625500000000002</v>
      </c>
      <c r="E50" s="1">
        <v>45016.432072002317</v>
      </c>
      <c r="F50">
        <v>37.902200000000001</v>
      </c>
      <c r="G50">
        <f t="shared" si="0"/>
        <v>39827100</v>
      </c>
      <c r="H50">
        <f t="shared" si="1"/>
        <v>48</v>
      </c>
      <c r="I50">
        <f t="shared" si="2"/>
        <v>100</v>
      </c>
      <c r="J50">
        <v>37.902200000000001</v>
      </c>
    </row>
    <row r="51" spans="1:10" x14ac:dyDescent="0.2">
      <c r="A51" s="1">
        <v>45016.432083576387</v>
      </c>
      <c r="B51">
        <v>40.028599999999997</v>
      </c>
      <c r="C51" s="1">
        <v>45016.432083576387</v>
      </c>
      <c r="D51">
        <v>39.625399999999999</v>
      </c>
      <c r="E51" s="1">
        <v>45016.432083576387</v>
      </c>
      <c r="F51">
        <v>37.929499999999997</v>
      </c>
      <c r="G51">
        <f t="shared" si="0"/>
        <v>39827000</v>
      </c>
      <c r="H51">
        <f t="shared" si="1"/>
        <v>49</v>
      </c>
      <c r="I51">
        <f t="shared" si="2"/>
        <v>-100</v>
      </c>
      <c r="J51">
        <v>37.929499999999997</v>
      </c>
    </row>
    <row r="52" spans="1:10" x14ac:dyDescent="0.2">
      <c r="A52" s="1">
        <v>45016.432095150463</v>
      </c>
      <c r="B52">
        <v>40.028700000000001</v>
      </c>
      <c r="C52" s="1">
        <v>45016.432095150463</v>
      </c>
      <c r="D52">
        <v>39.625500000000002</v>
      </c>
      <c r="E52" s="1">
        <v>45016.432095150463</v>
      </c>
      <c r="F52">
        <v>37.913200000000003</v>
      </c>
      <c r="G52">
        <f t="shared" si="0"/>
        <v>39827100</v>
      </c>
      <c r="H52">
        <f t="shared" si="1"/>
        <v>50</v>
      </c>
      <c r="I52">
        <f t="shared" si="2"/>
        <v>100</v>
      </c>
      <c r="J52">
        <v>37.913200000000003</v>
      </c>
    </row>
    <row r="53" spans="1:10" x14ac:dyDescent="0.2">
      <c r="A53" s="1">
        <v>45016.43210672454</v>
      </c>
      <c r="B53">
        <v>40.028599999999997</v>
      </c>
      <c r="C53" s="1">
        <v>45016.43210672454</v>
      </c>
      <c r="D53">
        <v>39.625399999999999</v>
      </c>
      <c r="E53" s="1">
        <v>45016.43210672454</v>
      </c>
      <c r="F53">
        <v>37.915300000000002</v>
      </c>
      <c r="G53">
        <f t="shared" si="0"/>
        <v>39827000</v>
      </c>
      <c r="H53">
        <f t="shared" si="1"/>
        <v>51</v>
      </c>
      <c r="I53">
        <f t="shared" si="2"/>
        <v>-100</v>
      </c>
      <c r="J53">
        <v>37.915300000000002</v>
      </c>
    </row>
    <row r="54" spans="1:10" x14ac:dyDescent="0.2">
      <c r="A54" s="1">
        <v>45016.43211829861</v>
      </c>
      <c r="B54">
        <v>40.028700000000001</v>
      </c>
      <c r="C54" s="1">
        <v>45016.43211829861</v>
      </c>
      <c r="D54">
        <v>39.625500000000002</v>
      </c>
      <c r="E54" s="1">
        <v>45016.43211829861</v>
      </c>
      <c r="F54">
        <v>37.920900000000003</v>
      </c>
      <c r="G54">
        <f t="shared" si="0"/>
        <v>39827100</v>
      </c>
      <c r="H54">
        <f t="shared" si="1"/>
        <v>52</v>
      </c>
      <c r="I54">
        <f t="shared" si="2"/>
        <v>100</v>
      </c>
      <c r="J54">
        <v>37.920900000000003</v>
      </c>
    </row>
    <row r="55" spans="1:10" x14ac:dyDescent="0.2">
      <c r="A55" s="1">
        <v>45016.432129884262</v>
      </c>
      <c r="B55">
        <v>40.028599999999997</v>
      </c>
      <c r="C55" s="1">
        <v>45016.432129884262</v>
      </c>
      <c r="D55">
        <v>39.625399999999999</v>
      </c>
      <c r="E55" s="1">
        <v>45016.432129884262</v>
      </c>
      <c r="F55">
        <v>37.903300000000002</v>
      </c>
      <c r="G55">
        <f t="shared" si="0"/>
        <v>39827000</v>
      </c>
      <c r="H55">
        <f t="shared" si="1"/>
        <v>53</v>
      </c>
      <c r="I55">
        <f t="shared" si="2"/>
        <v>-100</v>
      </c>
      <c r="J55">
        <v>37.903300000000002</v>
      </c>
    </row>
    <row r="56" spans="1:10" x14ac:dyDescent="0.2">
      <c r="A56" s="1">
        <v>45016.432141446756</v>
      </c>
      <c r="B56">
        <v>40.028700000000001</v>
      </c>
      <c r="C56" s="1">
        <v>45016.432141446756</v>
      </c>
      <c r="D56">
        <v>39.625500000000002</v>
      </c>
      <c r="E56" s="1">
        <v>45016.432141446756</v>
      </c>
      <c r="F56">
        <v>37.924300000000002</v>
      </c>
      <c r="G56">
        <f t="shared" si="0"/>
        <v>39827100</v>
      </c>
      <c r="H56">
        <f t="shared" si="1"/>
        <v>54</v>
      </c>
      <c r="I56">
        <f t="shared" si="2"/>
        <v>100</v>
      </c>
      <c r="J56">
        <v>37.924300000000002</v>
      </c>
    </row>
    <row r="57" spans="1:10" x14ac:dyDescent="0.2">
      <c r="A57" s="1">
        <v>45016.432153020833</v>
      </c>
      <c r="B57">
        <v>40.028599999999997</v>
      </c>
      <c r="C57" s="1">
        <v>45016.432153020833</v>
      </c>
      <c r="D57">
        <v>39.625399999999999</v>
      </c>
      <c r="E57" s="1">
        <v>45016.432153020833</v>
      </c>
      <c r="F57">
        <v>37.895200000000003</v>
      </c>
      <c r="G57">
        <f t="shared" si="0"/>
        <v>39827000</v>
      </c>
      <c r="H57">
        <f t="shared" si="1"/>
        <v>55</v>
      </c>
      <c r="I57">
        <f t="shared" si="2"/>
        <v>-100</v>
      </c>
      <c r="J57">
        <v>37.895200000000003</v>
      </c>
    </row>
    <row r="58" spans="1:10" x14ac:dyDescent="0.2">
      <c r="A58" s="1">
        <v>45016.432164606478</v>
      </c>
      <c r="B58">
        <v>40.028599999999997</v>
      </c>
      <c r="C58" s="1">
        <v>45016.432164606478</v>
      </c>
      <c r="D58">
        <v>39.625399999999999</v>
      </c>
      <c r="E58" s="1">
        <v>45016.432164606478</v>
      </c>
      <c r="F58">
        <v>37.922800000000002</v>
      </c>
      <c r="G58">
        <f t="shared" si="0"/>
        <v>39827000</v>
      </c>
      <c r="H58">
        <f t="shared" si="1"/>
        <v>56</v>
      </c>
      <c r="I58">
        <f t="shared" si="2"/>
        <v>0</v>
      </c>
      <c r="J58">
        <v>37.922800000000002</v>
      </c>
    </row>
    <row r="59" spans="1:10" x14ac:dyDescent="0.2">
      <c r="A59" s="1">
        <v>45016.432176180555</v>
      </c>
      <c r="B59">
        <v>40.028700000000001</v>
      </c>
      <c r="C59" s="1">
        <v>45016.432176180555</v>
      </c>
      <c r="D59">
        <v>39.625500000000002</v>
      </c>
      <c r="E59" s="1">
        <v>45016.432176180555</v>
      </c>
      <c r="F59">
        <v>37.899099999999997</v>
      </c>
      <c r="G59">
        <f t="shared" si="0"/>
        <v>39827100</v>
      </c>
      <c r="H59">
        <f t="shared" si="1"/>
        <v>57</v>
      </c>
      <c r="I59">
        <f t="shared" si="2"/>
        <v>100</v>
      </c>
      <c r="J59">
        <v>37.899099999999997</v>
      </c>
    </row>
    <row r="60" spans="1:10" x14ac:dyDescent="0.2">
      <c r="A60" s="1">
        <v>45016.432187743056</v>
      </c>
      <c r="B60">
        <v>40.028599999999997</v>
      </c>
      <c r="C60" s="1">
        <v>45016.432187743056</v>
      </c>
      <c r="D60">
        <v>39.625399999999999</v>
      </c>
      <c r="E60" s="1">
        <v>45016.432187743056</v>
      </c>
      <c r="F60">
        <v>37.913899999999998</v>
      </c>
      <c r="G60">
        <f t="shared" si="0"/>
        <v>39827000</v>
      </c>
      <c r="H60">
        <f t="shared" si="1"/>
        <v>58</v>
      </c>
      <c r="I60">
        <f t="shared" si="2"/>
        <v>-100</v>
      </c>
      <c r="J60">
        <v>37.913899999999998</v>
      </c>
    </row>
    <row r="61" spans="1:10" x14ac:dyDescent="0.2">
      <c r="A61" s="1">
        <v>45016.432199317132</v>
      </c>
      <c r="B61">
        <v>40.028700000000001</v>
      </c>
      <c r="C61" s="1">
        <v>45016.432199317132</v>
      </c>
      <c r="D61">
        <v>39.625500000000002</v>
      </c>
      <c r="E61" s="1">
        <v>45016.432199317132</v>
      </c>
      <c r="F61">
        <v>37.905099999999997</v>
      </c>
      <c r="G61">
        <f t="shared" si="0"/>
        <v>39827100</v>
      </c>
      <c r="H61">
        <f t="shared" si="1"/>
        <v>59</v>
      </c>
      <c r="I61">
        <f t="shared" si="2"/>
        <v>100</v>
      </c>
      <c r="J61">
        <v>37.905099999999997</v>
      </c>
    </row>
    <row r="62" spans="1:10" x14ac:dyDescent="0.2">
      <c r="A62" s="1">
        <v>45016.432210891202</v>
      </c>
      <c r="B62">
        <v>40.028599999999997</v>
      </c>
      <c r="C62" s="1">
        <v>45016.432210891202</v>
      </c>
      <c r="D62">
        <v>39.625300000000003</v>
      </c>
      <c r="E62" s="1">
        <v>45016.432210891202</v>
      </c>
      <c r="F62">
        <v>37.892600000000002</v>
      </c>
      <c r="G62">
        <f t="shared" si="0"/>
        <v>39826950</v>
      </c>
      <c r="H62">
        <f t="shared" si="1"/>
        <v>60</v>
      </c>
      <c r="I62">
        <f t="shared" si="2"/>
        <v>-150</v>
      </c>
      <c r="J62">
        <v>37.892600000000002</v>
      </c>
    </row>
    <row r="63" spans="1:10" x14ac:dyDescent="0.2">
      <c r="A63" s="1">
        <v>45016.432222465279</v>
      </c>
      <c r="B63">
        <v>40.028700000000001</v>
      </c>
      <c r="C63" s="1">
        <v>45016.432222465279</v>
      </c>
      <c r="D63">
        <v>39.625500000000002</v>
      </c>
      <c r="E63" s="1">
        <v>45016.432222465279</v>
      </c>
      <c r="F63">
        <v>37.917099999999998</v>
      </c>
      <c r="G63">
        <f t="shared" si="0"/>
        <v>39827100</v>
      </c>
      <c r="H63">
        <f t="shared" si="1"/>
        <v>61</v>
      </c>
      <c r="I63">
        <f t="shared" si="2"/>
        <v>150</v>
      </c>
      <c r="J63">
        <v>37.917099999999998</v>
      </c>
    </row>
    <row r="64" spans="1:10" x14ac:dyDescent="0.2">
      <c r="A64" s="1">
        <v>45016.432234039348</v>
      </c>
      <c r="B64">
        <v>40.028599999999997</v>
      </c>
      <c r="C64" s="1">
        <v>45016.432234039348</v>
      </c>
      <c r="D64">
        <v>39.625399999999999</v>
      </c>
      <c r="E64" s="1">
        <v>45016.432234039348</v>
      </c>
      <c r="F64">
        <v>37.8889</v>
      </c>
      <c r="G64">
        <f t="shared" si="0"/>
        <v>39827000</v>
      </c>
      <c r="H64">
        <f t="shared" si="1"/>
        <v>62</v>
      </c>
      <c r="I64">
        <f t="shared" si="2"/>
        <v>-100</v>
      </c>
      <c r="J64">
        <v>37.8889</v>
      </c>
    </row>
    <row r="65" spans="1:10" x14ac:dyDescent="0.2">
      <c r="A65" s="1">
        <v>45016.432245625001</v>
      </c>
      <c r="B65">
        <v>40.028599999999997</v>
      </c>
      <c r="C65" s="1">
        <v>45016.432245625001</v>
      </c>
      <c r="D65">
        <v>39.625399999999999</v>
      </c>
      <c r="E65" s="1">
        <v>45016.432245625001</v>
      </c>
      <c r="F65">
        <v>37.9148</v>
      </c>
      <c r="G65">
        <f t="shared" si="0"/>
        <v>39827000</v>
      </c>
      <c r="H65">
        <f t="shared" si="1"/>
        <v>63</v>
      </c>
      <c r="I65">
        <f t="shared" si="2"/>
        <v>0</v>
      </c>
      <c r="J65">
        <v>37.9148</v>
      </c>
    </row>
    <row r="66" spans="1:10" x14ac:dyDescent="0.2">
      <c r="A66" s="1">
        <v>45016.432257187502</v>
      </c>
      <c r="B66">
        <v>40.028700000000001</v>
      </c>
      <c r="C66" s="1">
        <v>45016.432257187502</v>
      </c>
      <c r="D66">
        <v>39.625500000000002</v>
      </c>
      <c r="E66" s="1">
        <v>45016.432257187502</v>
      </c>
      <c r="F66">
        <v>37.889600000000002</v>
      </c>
      <c r="G66">
        <f t="shared" si="0"/>
        <v>39827100</v>
      </c>
      <c r="H66">
        <f t="shared" si="1"/>
        <v>64</v>
      </c>
      <c r="I66">
        <f t="shared" si="2"/>
        <v>100</v>
      </c>
      <c r="J66">
        <v>37.889600000000002</v>
      </c>
    </row>
    <row r="67" spans="1:10" x14ac:dyDescent="0.2">
      <c r="A67" s="1">
        <v>45016.432268773147</v>
      </c>
      <c r="B67">
        <v>40.028599999999997</v>
      </c>
      <c r="C67" s="1">
        <v>45016.432268773147</v>
      </c>
      <c r="D67">
        <v>39.625399999999999</v>
      </c>
      <c r="E67" s="1">
        <v>45016.432268773147</v>
      </c>
      <c r="F67">
        <v>37.906199999999998</v>
      </c>
      <c r="G67">
        <f t="shared" ref="G67:G130" si="3">AVERAGE(B67,D67)*1000000</f>
        <v>39827000</v>
      </c>
      <c r="H67">
        <f t="shared" si="1"/>
        <v>65</v>
      </c>
      <c r="I67">
        <f t="shared" si="2"/>
        <v>-100</v>
      </c>
      <c r="J67">
        <v>37.906199999999998</v>
      </c>
    </row>
    <row r="68" spans="1:10" x14ac:dyDescent="0.2">
      <c r="A68" s="1">
        <v>45016.432280347224</v>
      </c>
      <c r="B68">
        <v>40.028700000000001</v>
      </c>
      <c r="C68" s="1">
        <v>45016.432280347224</v>
      </c>
      <c r="D68">
        <v>39.625500000000002</v>
      </c>
      <c r="E68" s="1">
        <v>45016.432280347224</v>
      </c>
      <c r="F68">
        <v>37.894100000000002</v>
      </c>
      <c r="G68">
        <f t="shared" si="3"/>
        <v>39827100</v>
      </c>
      <c r="H68">
        <f t="shared" ref="H68:H131" si="4">H67+1</f>
        <v>66</v>
      </c>
      <c r="I68">
        <f t="shared" ref="I68:I131" si="5">G68-G67</f>
        <v>100</v>
      </c>
      <c r="J68">
        <v>37.894100000000002</v>
      </c>
    </row>
    <row r="69" spans="1:10" x14ac:dyDescent="0.2">
      <c r="A69" s="1">
        <v>45016.432292152778</v>
      </c>
      <c r="B69">
        <v>40.028599999999997</v>
      </c>
      <c r="C69" s="1">
        <v>45016.432292129626</v>
      </c>
      <c r="D69">
        <v>39.625399999999999</v>
      </c>
      <c r="E69" s="1">
        <v>45016.432292152778</v>
      </c>
      <c r="F69">
        <v>37.896700000000003</v>
      </c>
      <c r="G69">
        <f t="shared" si="3"/>
        <v>39827000</v>
      </c>
      <c r="H69">
        <f t="shared" si="4"/>
        <v>67</v>
      </c>
      <c r="I69">
        <f t="shared" si="5"/>
        <v>-100</v>
      </c>
      <c r="J69">
        <v>37.896700000000003</v>
      </c>
    </row>
    <row r="70" spans="1:10" x14ac:dyDescent="0.2">
      <c r="A70" s="1">
        <v>45016.432303483794</v>
      </c>
      <c r="B70">
        <v>40.028700000000001</v>
      </c>
      <c r="C70" s="1">
        <v>45016.432303483794</v>
      </c>
      <c r="D70">
        <v>39.625500000000002</v>
      </c>
      <c r="E70" s="1">
        <v>45016.432303483794</v>
      </c>
      <c r="F70">
        <v>37.900199999999998</v>
      </c>
      <c r="G70">
        <f t="shared" si="3"/>
        <v>39827100</v>
      </c>
      <c r="H70">
        <f t="shared" si="4"/>
        <v>68</v>
      </c>
      <c r="I70">
        <f t="shared" si="5"/>
        <v>100</v>
      </c>
      <c r="J70">
        <v>37.900199999999998</v>
      </c>
    </row>
    <row r="71" spans="1:10" x14ac:dyDescent="0.2">
      <c r="A71" s="1">
        <v>45016.432315057871</v>
      </c>
      <c r="B71">
        <v>40.028599999999997</v>
      </c>
      <c r="C71" s="1">
        <v>45016.432315057871</v>
      </c>
      <c r="D71">
        <v>39.625399999999999</v>
      </c>
      <c r="E71" s="1">
        <v>45016.432315057871</v>
      </c>
      <c r="F71">
        <v>37.890900000000002</v>
      </c>
      <c r="G71">
        <f t="shared" si="3"/>
        <v>39827000</v>
      </c>
      <c r="H71">
        <f t="shared" si="4"/>
        <v>69</v>
      </c>
      <c r="I71">
        <f t="shared" si="5"/>
        <v>-100</v>
      </c>
      <c r="J71">
        <v>37.890900000000002</v>
      </c>
    </row>
    <row r="72" spans="1:10" x14ac:dyDescent="0.2">
      <c r="A72" s="1">
        <v>45016.432326631948</v>
      </c>
      <c r="B72">
        <v>40.028700000000001</v>
      </c>
      <c r="C72" s="1">
        <v>45016.432326631948</v>
      </c>
      <c r="D72">
        <v>39.625500000000002</v>
      </c>
      <c r="E72" s="1">
        <v>45016.432326631948</v>
      </c>
      <c r="F72">
        <v>37.907200000000003</v>
      </c>
      <c r="G72">
        <f t="shared" si="3"/>
        <v>39827100</v>
      </c>
      <c r="H72">
        <f t="shared" si="4"/>
        <v>70</v>
      </c>
      <c r="I72">
        <f t="shared" si="5"/>
        <v>100</v>
      </c>
      <c r="J72">
        <v>37.907200000000003</v>
      </c>
    </row>
    <row r="73" spans="1:10" x14ac:dyDescent="0.2">
      <c r="A73" s="1">
        <v>45016.432338206017</v>
      </c>
      <c r="B73">
        <v>40.028599999999997</v>
      </c>
      <c r="C73" s="1">
        <v>45016.432338206017</v>
      </c>
      <c r="D73">
        <v>39.625399999999999</v>
      </c>
      <c r="E73" s="1">
        <v>45016.432338206017</v>
      </c>
      <c r="F73">
        <v>37.883699999999997</v>
      </c>
      <c r="G73">
        <f t="shared" si="3"/>
        <v>39827000</v>
      </c>
      <c r="H73">
        <f t="shared" si="4"/>
        <v>71</v>
      </c>
      <c r="I73">
        <f t="shared" si="5"/>
        <v>-100</v>
      </c>
      <c r="J73">
        <v>37.883699999999997</v>
      </c>
    </row>
    <row r="74" spans="1:10" x14ac:dyDescent="0.2">
      <c r="A74" s="1">
        <v>45016.432349780094</v>
      </c>
      <c r="B74">
        <v>40.028599999999997</v>
      </c>
      <c r="C74" s="1">
        <v>45016.432349780094</v>
      </c>
      <c r="D74">
        <v>39.625399999999999</v>
      </c>
      <c r="E74" s="1">
        <v>45016.432349780094</v>
      </c>
      <c r="F74">
        <v>37.907400000000003</v>
      </c>
      <c r="G74">
        <f t="shared" si="3"/>
        <v>39827000</v>
      </c>
      <c r="H74">
        <f t="shared" si="4"/>
        <v>72</v>
      </c>
      <c r="I74">
        <f t="shared" si="5"/>
        <v>0</v>
      </c>
      <c r="J74">
        <v>37.907400000000003</v>
      </c>
    </row>
    <row r="75" spans="1:10" x14ac:dyDescent="0.2">
      <c r="A75" s="1">
        <v>45016.432361354164</v>
      </c>
      <c r="B75">
        <v>40.028700000000001</v>
      </c>
      <c r="C75" s="1">
        <v>45016.432361354164</v>
      </c>
      <c r="D75">
        <v>39.625500000000002</v>
      </c>
      <c r="E75" s="1">
        <v>45016.432361354164</v>
      </c>
      <c r="F75">
        <v>37.8842</v>
      </c>
      <c r="G75">
        <f t="shared" si="3"/>
        <v>39827100</v>
      </c>
      <c r="H75">
        <f t="shared" si="4"/>
        <v>73</v>
      </c>
      <c r="I75">
        <f t="shared" si="5"/>
        <v>100</v>
      </c>
      <c r="J75">
        <v>37.8842</v>
      </c>
    </row>
    <row r="76" spans="1:10" x14ac:dyDescent="0.2">
      <c r="A76" s="1">
        <v>45016.432372928241</v>
      </c>
      <c r="B76">
        <v>40.028599999999997</v>
      </c>
      <c r="C76" s="1">
        <v>45016.432372928241</v>
      </c>
      <c r="D76">
        <v>39.625399999999999</v>
      </c>
      <c r="E76" s="1">
        <v>45016.432372928241</v>
      </c>
      <c r="F76">
        <v>37.898600000000002</v>
      </c>
      <c r="G76">
        <f t="shared" si="3"/>
        <v>39827000</v>
      </c>
      <c r="H76">
        <f t="shared" si="4"/>
        <v>74</v>
      </c>
      <c r="I76">
        <f t="shared" si="5"/>
        <v>-100</v>
      </c>
      <c r="J76">
        <v>37.898600000000002</v>
      </c>
    </row>
    <row r="77" spans="1:10" x14ac:dyDescent="0.2">
      <c r="A77" s="1">
        <v>45016.432384502317</v>
      </c>
      <c r="B77">
        <v>40.028700000000001</v>
      </c>
      <c r="C77" s="1">
        <v>45016.432384502317</v>
      </c>
      <c r="D77">
        <v>39.625500000000002</v>
      </c>
      <c r="E77" s="1">
        <v>45016.432384502317</v>
      </c>
      <c r="F77">
        <v>37.893700000000003</v>
      </c>
      <c r="G77">
        <f t="shared" si="3"/>
        <v>39827100</v>
      </c>
      <c r="H77">
        <f t="shared" si="4"/>
        <v>75</v>
      </c>
      <c r="I77">
        <f t="shared" si="5"/>
        <v>100</v>
      </c>
      <c r="J77">
        <v>37.893700000000003</v>
      </c>
    </row>
    <row r="78" spans="1:10" x14ac:dyDescent="0.2">
      <c r="A78" s="1">
        <v>45016.432396076387</v>
      </c>
      <c r="B78">
        <v>40.028599999999997</v>
      </c>
      <c r="C78" s="1">
        <v>45016.432396076387</v>
      </c>
      <c r="D78">
        <v>39.625399999999999</v>
      </c>
      <c r="E78" s="1">
        <v>45016.432396076387</v>
      </c>
      <c r="F78">
        <v>37.890700000000002</v>
      </c>
      <c r="G78">
        <f t="shared" si="3"/>
        <v>39827000</v>
      </c>
      <c r="H78">
        <f t="shared" si="4"/>
        <v>76</v>
      </c>
      <c r="I78">
        <f t="shared" si="5"/>
        <v>-100</v>
      </c>
      <c r="J78">
        <v>37.890700000000002</v>
      </c>
    </row>
    <row r="79" spans="1:10" x14ac:dyDescent="0.2">
      <c r="A79" s="1">
        <v>45016.432407650464</v>
      </c>
      <c r="B79">
        <v>40.028700000000001</v>
      </c>
      <c r="C79" s="1">
        <v>45016.432407650464</v>
      </c>
      <c r="D79">
        <v>39.625500000000002</v>
      </c>
      <c r="E79" s="1">
        <v>45016.432407650464</v>
      </c>
      <c r="F79">
        <v>37.898000000000003</v>
      </c>
      <c r="G79">
        <f t="shared" si="3"/>
        <v>39827100</v>
      </c>
      <c r="H79">
        <f t="shared" si="4"/>
        <v>77</v>
      </c>
      <c r="I79">
        <f t="shared" si="5"/>
        <v>100</v>
      </c>
      <c r="J79">
        <v>37.898000000000003</v>
      </c>
    </row>
    <row r="80" spans="1:10" x14ac:dyDescent="0.2">
      <c r="A80" s="1">
        <v>45016.432419236109</v>
      </c>
      <c r="B80">
        <v>40.028599999999997</v>
      </c>
      <c r="C80" s="1">
        <v>45016.432419236109</v>
      </c>
      <c r="D80">
        <v>39.625399999999999</v>
      </c>
      <c r="E80" s="1">
        <v>45016.432419236109</v>
      </c>
      <c r="F80">
        <v>37.881500000000003</v>
      </c>
      <c r="G80">
        <f t="shared" si="3"/>
        <v>39827000</v>
      </c>
      <c r="H80">
        <f t="shared" si="4"/>
        <v>78</v>
      </c>
      <c r="I80">
        <f t="shared" si="5"/>
        <v>-100</v>
      </c>
      <c r="J80">
        <v>37.881500000000003</v>
      </c>
    </row>
    <row r="81" spans="1:10" x14ac:dyDescent="0.2">
      <c r="A81" s="1">
        <v>45016.432430810186</v>
      </c>
      <c r="B81">
        <v>40.028599999999997</v>
      </c>
      <c r="C81" s="1">
        <v>45016.432430810186</v>
      </c>
      <c r="D81">
        <v>39.625399999999999</v>
      </c>
      <c r="E81" s="1">
        <v>45016.432430810186</v>
      </c>
      <c r="F81">
        <v>37.902700000000003</v>
      </c>
      <c r="G81">
        <f t="shared" si="3"/>
        <v>39827000</v>
      </c>
      <c r="H81">
        <f t="shared" si="4"/>
        <v>79</v>
      </c>
      <c r="I81">
        <f t="shared" si="5"/>
        <v>0</v>
      </c>
      <c r="J81">
        <v>37.902700000000003</v>
      </c>
    </row>
    <row r="82" spans="1:10" x14ac:dyDescent="0.2">
      <c r="A82" s="1">
        <v>45016.432442372687</v>
      </c>
      <c r="B82">
        <v>40.028599999999997</v>
      </c>
      <c r="C82" s="1">
        <v>45016.432442372687</v>
      </c>
      <c r="D82">
        <v>39.625399999999999</v>
      </c>
      <c r="E82" s="1">
        <v>45016.432442372687</v>
      </c>
      <c r="F82">
        <v>37.882399999999997</v>
      </c>
      <c r="G82">
        <f t="shared" si="3"/>
        <v>39827000</v>
      </c>
      <c r="H82">
        <f t="shared" si="4"/>
        <v>80</v>
      </c>
      <c r="I82">
        <f t="shared" si="5"/>
        <v>0</v>
      </c>
      <c r="J82">
        <v>37.882399999999997</v>
      </c>
    </row>
    <row r="83" spans="1:10" x14ac:dyDescent="0.2">
      <c r="A83" s="1">
        <v>45016.432453946756</v>
      </c>
      <c r="B83">
        <v>40.028599999999997</v>
      </c>
      <c r="C83" s="1">
        <v>45016.432453946756</v>
      </c>
      <c r="D83">
        <v>39.625399999999999</v>
      </c>
      <c r="E83" s="1">
        <v>45016.432453946756</v>
      </c>
      <c r="F83">
        <v>37.9011</v>
      </c>
      <c r="G83">
        <f t="shared" si="3"/>
        <v>39827000</v>
      </c>
      <c r="H83">
        <f t="shared" si="4"/>
        <v>81</v>
      </c>
      <c r="I83">
        <f t="shared" si="5"/>
        <v>0</v>
      </c>
      <c r="J83">
        <v>37.9011</v>
      </c>
    </row>
    <row r="84" spans="1:10" x14ac:dyDescent="0.2">
      <c r="A84" s="1">
        <v>45016.432465520833</v>
      </c>
      <c r="B84">
        <v>40.028700000000001</v>
      </c>
      <c r="C84" s="1">
        <v>45016.432465520833</v>
      </c>
      <c r="D84">
        <v>39.625399999999999</v>
      </c>
      <c r="E84" s="1">
        <v>45016.432465520833</v>
      </c>
      <c r="F84">
        <v>37.8797</v>
      </c>
      <c r="G84">
        <f t="shared" si="3"/>
        <v>39827050</v>
      </c>
      <c r="H84">
        <f t="shared" si="4"/>
        <v>82</v>
      </c>
      <c r="I84">
        <f t="shared" si="5"/>
        <v>50</v>
      </c>
      <c r="J84">
        <v>37.8797</v>
      </c>
    </row>
    <row r="85" spans="1:10" x14ac:dyDescent="0.2">
      <c r="A85" s="1">
        <v>45016.43247709491</v>
      </c>
      <c r="B85">
        <v>40.028599999999997</v>
      </c>
      <c r="C85" s="1">
        <v>45016.43247709491</v>
      </c>
      <c r="D85">
        <v>39.625399999999999</v>
      </c>
      <c r="E85" s="1">
        <v>45016.43247709491</v>
      </c>
      <c r="F85">
        <v>37.897199999999998</v>
      </c>
      <c r="G85">
        <f t="shared" si="3"/>
        <v>39827000</v>
      </c>
      <c r="H85">
        <f t="shared" si="4"/>
        <v>83</v>
      </c>
      <c r="I85">
        <f t="shared" si="5"/>
        <v>-50</v>
      </c>
      <c r="J85">
        <v>37.897199999999998</v>
      </c>
    </row>
    <row r="86" spans="1:10" x14ac:dyDescent="0.2">
      <c r="A86" s="1">
        <v>45016.432488668979</v>
      </c>
      <c r="B86">
        <v>40.028700000000001</v>
      </c>
      <c r="C86" s="1">
        <v>45016.432488668979</v>
      </c>
      <c r="D86">
        <v>39.625500000000002</v>
      </c>
      <c r="E86" s="1">
        <v>45016.432488668979</v>
      </c>
      <c r="F86">
        <v>37.884700000000002</v>
      </c>
      <c r="G86">
        <f t="shared" si="3"/>
        <v>39827100</v>
      </c>
      <c r="H86">
        <f t="shared" si="4"/>
        <v>84</v>
      </c>
      <c r="I86">
        <f t="shared" si="5"/>
        <v>100</v>
      </c>
      <c r="J86">
        <v>37.884700000000002</v>
      </c>
    </row>
    <row r="87" spans="1:10" x14ac:dyDescent="0.2">
      <c r="A87" s="1">
        <v>45016.432500243056</v>
      </c>
      <c r="B87">
        <v>40.028599999999997</v>
      </c>
      <c r="C87" s="1">
        <v>45016.432500243056</v>
      </c>
      <c r="D87">
        <v>39.625399999999999</v>
      </c>
      <c r="E87" s="1">
        <v>45016.432500243056</v>
      </c>
      <c r="F87">
        <v>37.8874</v>
      </c>
      <c r="G87">
        <f t="shared" si="3"/>
        <v>39827000</v>
      </c>
      <c r="H87">
        <f t="shared" si="4"/>
        <v>85</v>
      </c>
      <c r="I87">
        <f t="shared" si="5"/>
        <v>-100</v>
      </c>
      <c r="J87">
        <v>37.8874</v>
      </c>
    </row>
    <row r="88" spans="1:10" x14ac:dyDescent="0.2">
      <c r="A88" s="1">
        <v>45016.432511828702</v>
      </c>
      <c r="B88">
        <v>40.028700000000001</v>
      </c>
      <c r="C88" s="1">
        <v>45016.432511828702</v>
      </c>
      <c r="D88">
        <v>39.625500000000002</v>
      </c>
      <c r="E88" s="1">
        <v>45016.432511828702</v>
      </c>
      <c r="F88">
        <v>37.889000000000003</v>
      </c>
      <c r="G88">
        <f t="shared" si="3"/>
        <v>39827100</v>
      </c>
      <c r="H88">
        <f t="shared" si="4"/>
        <v>86</v>
      </c>
      <c r="I88">
        <f t="shared" si="5"/>
        <v>100</v>
      </c>
      <c r="J88">
        <v>37.889000000000003</v>
      </c>
    </row>
    <row r="89" spans="1:10" x14ac:dyDescent="0.2">
      <c r="A89" s="1">
        <v>45016.432523391202</v>
      </c>
      <c r="B89">
        <v>40.028599999999997</v>
      </c>
      <c r="C89" s="1">
        <v>45016.432523391202</v>
      </c>
      <c r="D89">
        <v>39.625399999999999</v>
      </c>
      <c r="E89" s="1">
        <v>45016.432523391202</v>
      </c>
      <c r="F89">
        <v>37.882199999999997</v>
      </c>
      <c r="G89">
        <f t="shared" si="3"/>
        <v>39827000</v>
      </c>
      <c r="H89">
        <f t="shared" si="4"/>
        <v>87</v>
      </c>
      <c r="I89">
        <f t="shared" si="5"/>
        <v>-100</v>
      </c>
      <c r="J89">
        <v>37.882199999999997</v>
      </c>
    </row>
    <row r="90" spans="1:10" x14ac:dyDescent="0.2">
      <c r="A90" s="1">
        <v>45016.432534965279</v>
      </c>
      <c r="B90">
        <v>40.028700000000001</v>
      </c>
      <c r="C90" s="1">
        <v>45016.432534965279</v>
      </c>
      <c r="D90">
        <v>39.625500000000002</v>
      </c>
      <c r="E90" s="1">
        <v>45016.432534965279</v>
      </c>
      <c r="F90">
        <v>37.892899999999997</v>
      </c>
      <c r="G90">
        <f t="shared" si="3"/>
        <v>39827100</v>
      </c>
      <c r="H90">
        <f t="shared" si="4"/>
        <v>88</v>
      </c>
      <c r="I90">
        <f t="shared" si="5"/>
        <v>100</v>
      </c>
      <c r="J90">
        <v>37.892899999999997</v>
      </c>
    </row>
    <row r="91" spans="1:10" x14ac:dyDescent="0.2">
      <c r="A91" s="1">
        <v>45016.432546539349</v>
      </c>
      <c r="B91">
        <v>40.028599999999997</v>
      </c>
      <c r="C91" s="1">
        <v>45016.432546539349</v>
      </c>
      <c r="D91">
        <v>39.625399999999999</v>
      </c>
      <c r="E91" s="1">
        <v>45016.432546539349</v>
      </c>
      <c r="F91">
        <v>37.876399999999997</v>
      </c>
      <c r="G91">
        <f t="shared" si="3"/>
        <v>39827000</v>
      </c>
      <c r="H91">
        <f t="shared" si="4"/>
        <v>89</v>
      </c>
      <c r="I91">
        <f t="shared" si="5"/>
        <v>-100</v>
      </c>
      <c r="J91">
        <v>37.876399999999997</v>
      </c>
    </row>
    <row r="92" spans="1:10" x14ac:dyDescent="0.2">
      <c r="A92" s="1">
        <v>45016.432558113425</v>
      </c>
      <c r="B92">
        <v>40.028599999999997</v>
      </c>
      <c r="C92" s="1">
        <v>45016.432558113425</v>
      </c>
      <c r="D92">
        <v>39.625399999999999</v>
      </c>
      <c r="E92" s="1">
        <v>45016.432558113425</v>
      </c>
      <c r="F92">
        <v>37.896500000000003</v>
      </c>
      <c r="G92">
        <f t="shared" si="3"/>
        <v>39827000</v>
      </c>
      <c r="H92">
        <f t="shared" si="4"/>
        <v>90</v>
      </c>
      <c r="I92">
        <f t="shared" si="5"/>
        <v>0</v>
      </c>
      <c r="J92">
        <v>37.896500000000003</v>
      </c>
    </row>
    <row r="93" spans="1:10" x14ac:dyDescent="0.2">
      <c r="A93" s="1">
        <v>45016.432569687502</v>
      </c>
      <c r="B93">
        <v>40.028599999999997</v>
      </c>
      <c r="C93" s="1">
        <v>45016.432569687502</v>
      </c>
      <c r="D93">
        <v>39.625399999999999</v>
      </c>
      <c r="E93" s="1">
        <v>45016.432569687502</v>
      </c>
      <c r="F93">
        <v>37.8748</v>
      </c>
      <c r="G93">
        <f t="shared" si="3"/>
        <v>39827000</v>
      </c>
      <c r="H93">
        <f t="shared" si="4"/>
        <v>91</v>
      </c>
      <c r="I93">
        <f t="shared" si="5"/>
        <v>0</v>
      </c>
      <c r="J93">
        <v>37.8748</v>
      </c>
    </row>
    <row r="94" spans="1:10" x14ac:dyDescent="0.2">
      <c r="A94" s="1">
        <v>45016.432581273148</v>
      </c>
      <c r="B94">
        <v>40.028599999999997</v>
      </c>
      <c r="C94" s="1">
        <v>45016.432581273148</v>
      </c>
      <c r="D94">
        <v>39.625399999999999</v>
      </c>
      <c r="E94" s="1">
        <v>45016.432581273148</v>
      </c>
      <c r="F94">
        <v>37.894799999999996</v>
      </c>
      <c r="G94">
        <f t="shared" si="3"/>
        <v>39827000</v>
      </c>
      <c r="H94">
        <f t="shared" si="4"/>
        <v>92</v>
      </c>
      <c r="I94">
        <f t="shared" si="5"/>
        <v>0</v>
      </c>
      <c r="J94">
        <v>37.894799999999996</v>
      </c>
    </row>
    <row r="95" spans="1:10" x14ac:dyDescent="0.2">
      <c r="A95" s="1">
        <v>45016.432592847224</v>
      </c>
      <c r="B95">
        <v>40.028700000000001</v>
      </c>
      <c r="C95" s="1">
        <v>45016.432592847224</v>
      </c>
      <c r="D95">
        <v>39.625500000000002</v>
      </c>
      <c r="E95" s="1">
        <v>45016.432592847224</v>
      </c>
      <c r="F95">
        <v>37.877099999999999</v>
      </c>
      <c r="G95">
        <f t="shared" si="3"/>
        <v>39827100</v>
      </c>
      <c r="H95">
        <f t="shared" si="4"/>
        <v>93</v>
      </c>
      <c r="I95">
        <f t="shared" si="5"/>
        <v>100</v>
      </c>
      <c r="J95">
        <v>37.877099999999999</v>
      </c>
    </row>
    <row r="96" spans="1:10" x14ac:dyDescent="0.2">
      <c r="A96" s="1">
        <v>45016.432604409725</v>
      </c>
      <c r="B96">
        <v>40.028599999999997</v>
      </c>
      <c r="C96" s="1">
        <v>45016.432604409725</v>
      </c>
      <c r="D96">
        <v>39.625399999999999</v>
      </c>
      <c r="E96" s="1">
        <v>45016.432604409725</v>
      </c>
      <c r="F96">
        <v>37.890099999999997</v>
      </c>
      <c r="G96">
        <f t="shared" si="3"/>
        <v>39827000</v>
      </c>
      <c r="H96">
        <f t="shared" si="4"/>
        <v>94</v>
      </c>
      <c r="I96">
        <f t="shared" si="5"/>
        <v>-100</v>
      </c>
      <c r="J96">
        <v>37.890099999999997</v>
      </c>
    </row>
    <row r="97" spans="1:10" x14ac:dyDescent="0.2">
      <c r="A97" s="1">
        <v>45016.432615983795</v>
      </c>
      <c r="B97">
        <v>40.028700000000001</v>
      </c>
      <c r="C97" s="1">
        <v>45016.432615983795</v>
      </c>
      <c r="D97">
        <v>39.625500000000002</v>
      </c>
      <c r="E97" s="1">
        <v>45016.432615983795</v>
      </c>
      <c r="F97">
        <v>37.879399999999997</v>
      </c>
      <c r="G97">
        <f t="shared" si="3"/>
        <v>39827100</v>
      </c>
      <c r="H97">
        <f t="shared" si="4"/>
        <v>95</v>
      </c>
      <c r="I97">
        <f t="shared" si="5"/>
        <v>100</v>
      </c>
      <c r="J97">
        <v>37.879399999999997</v>
      </c>
    </row>
    <row r="98" spans="1:10" x14ac:dyDescent="0.2">
      <c r="A98" s="1">
        <v>45016.432627557871</v>
      </c>
      <c r="B98">
        <v>40.028599999999997</v>
      </c>
      <c r="C98" s="1">
        <v>45016.432627557871</v>
      </c>
      <c r="D98">
        <v>39.625399999999999</v>
      </c>
      <c r="E98" s="1">
        <v>45016.432627557871</v>
      </c>
      <c r="F98">
        <v>37.887900000000002</v>
      </c>
      <c r="G98">
        <f t="shared" si="3"/>
        <v>39827000</v>
      </c>
      <c r="H98">
        <f t="shared" si="4"/>
        <v>96</v>
      </c>
      <c r="I98">
        <f t="shared" si="5"/>
        <v>-100</v>
      </c>
      <c r="J98">
        <v>37.887900000000002</v>
      </c>
    </row>
    <row r="99" spans="1:10" x14ac:dyDescent="0.2">
      <c r="A99" s="1">
        <v>45016.432639131941</v>
      </c>
      <c r="B99">
        <v>40.028700000000001</v>
      </c>
      <c r="C99" s="1">
        <v>45016.432639131941</v>
      </c>
      <c r="D99">
        <v>39.625500000000002</v>
      </c>
      <c r="E99" s="1">
        <v>45016.432639131941</v>
      </c>
      <c r="F99">
        <v>37.8795</v>
      </c>
      <c r="G99">
        <f t="shared" si="3"/>
        <v>39827100</v>
      </c>
      <c r="H99">
        <f t="shared" si="4"/>
        <v>97</v>
      </c>
      <c r="I99">
        <f t="shared" si="5"/>
        <v>100</v>
      </c>
      <c r="J99">
        <v>37.8795</v>
      </c>
    </row>
    <row r="100" spans="1:10" x14ac:dyDescent="0.2">
      <c r="A100" s="1">
        <v>45016.432650706018</v>
      </c>
      <c r="B100">
        <v>40.028500000000001</v>
      </c>
      <c r="C100" s="1">
        <v>45016.432650706018</v>
      </c>
      <c r="D100">
        <v>39.625399999999999</v>
      </c>
      <c r="E100" s="1">
        <v>45016.432650706018</v>
      </c>
      <c r="F100">
        <v>37.883099999999999</v>
      </c>
      <c r="G100">
        <f t="shared" si="3"/>
        <v>39826950</v>
      </c>
      <c r="H100">
        <f t="shared" si="4"/>
        <v>98</v>
      </c>
      <c r="I100">
        <f t="shared" si="5"/>
        <v>-150</v>
      </c>
      <c r="J100">
        <v>37.883099999999999</v>
      </c>
    </row>
    <row r="101" spans="1:10" x14ac:dyDescent="0.2">
      <c r="A101" s="1">
        <v>45016.432662291663</v>
      </c>
      <c r="B101">
        <v>40.028700000000001</v>
      </c>
      <c r="C101" s="1">
        <v>45016.432662291663</v>
      </c>
      <c r="D101">
        <v>39.625500000000002</v>
      </c>
      <c r="E101" s="1">
        <v>45016.432662291663</v>
      </c>
      <c r="F101">
        <v>37.885199999999998</v>
      </c>
      <c r="G101">
        <f t="shared" si="3"/>
        <v>39827100</v>
      </c>
      <c r="H101">
        <f t="shared" si="4"/>
        <v>99</v>
      </c>
      <c r="I101">
        <f t="shared" si="5"/>
        <v>150</v>
      </c>
      <c r="J101">
        <v>37.885199999999998</v>
      </c>
    </row>
    <row r="102" spans="1:10" x14ac:dyDescent="0.2">
      <c r="A102" s="1">
        <v>45016.432673854164</v>
      </c>
      <c r="B102">
        <v>40.028599999999997</v>
      </c>
      <c r="C102" s="1">
        <v>45016.432673854164</v>
      </c>
      <c r="D102">
        <v>39.625399999999999</v>
      </c>
      <c r="E102" s="1">
        <v>45016.432673854164</v>
      </c>
      <c r="F102">
        <v>37.873899999999999</v>
      </c>
      <c r="G102">
        <f t="shared" si="3"/>
        <v>39827000</v>
      </c>
      <c r="H102">
        <f t="shared" si="4"/>
        <v>100</v>
      </c>
      <c r="I102">
        <f t="shared" si="5"/>
        <v>-100</v>
      </c>
      <c r="J102">
        <v>37.873899999999999</v>
      </c>
    </row>
    <row r="103" spans="1:10" x14ac:dyDescent="0.2">
      <c r="A103" s="1">
        <v>45016.432685428241</v>
      </c>
      <c r="B103">
        <v>40.028700000000001</v>
      </c>
      <c r="C103" s="1">
        <v>45016.432685428241</v>
      </c>
      <c r="D103">
        <v>39.625399999999999</v>
      </c>
      <c r="E103" s="1">
        <v>45016.432685428241</v>
      </c>
      <c r="F103">
        <v>37.890300000000003</v>
      </c>
      <c r="G103">
        <f t="shared" si="3"/>
        <v>39827050</v>
      </c>
      <c r="H103">
        <f t="shared" si="4"/>
        <v>101</v>
      </c>
      <c r="I103">
        <f t="shared" si="5"/>
        <v>50</v>
      </c>
      <c r="J103">
        <v>37.890300000000003</v>
      </c>
    </row>
    <row r="104" spans="1:10" x14ac:dyDescent="0.2">
      <c r="A104" s="1">
        <v>45016.432697002318</v>
      </c>
      <c r="B104">
        <v>40.028599999999997</v>
      </c>
      <c r="C104" s="1">
        <v>45016.432697002318</v>
      </c>
      <c r="D104">
        <v>39.625399999999999</v>
      </c>
      <c r="E104" s="1">
        <v>45016.432697002318</v>
      </c>
      <c r="F104">
        <v>37.869399999999999</v>
      </c>
      <c r="G104">
        <f t="shared" si="3"/>
        <v>39827000</v>
      </c>
      <c r="H104">
        <f t="shared" si="4"/>
        <v>102</v>
      </c>
      <c r="I104">
        <f t="shared" si="5"/>
        <v>-50</v>
      </c>
      <c r="J104">
        <v>37.869399999999999</v>
      </c>
    </row>
    <row r="105" spans="1:10" x14ac:dyDescent="0.2">
      <c r="A105" s="1">
        <v>45016.432708576387</v>
      </c>
      <c r="B105">
        <v>40.028599999999997</v>
      </c>
      <c r="C105" s="1">
        <v>45016.432708576387</v>
      </c>
      <c r="D105">
        <v>39.625399999999999</v>
      </c>
      <c r="E105" s="1">
        <v>45016.432708576387</v>
      </c>
      <c r="F105">
        <v>37.890099999999997</v>
      </c>
      <c r="G105">
        <f t="shared" si="3"/>
        <v>39827000</v>
      </c>
      <c r="H105">
        <f t="shared" si="4"/>
        <v>103</v>
      </c>
      <c r="I105">
        <f t="shared" si="5"/>
        <v>0</v>
      </c>
      <c r="J105">
        <v>37.890099999999997</v>
      </c>
    </row>
    <row r="106" spans="1:10" x14ac:dyDescent="0.2">
      <c r="A106" s="1">
        <v>45016.432720150464</v>
      </c>
      <c r="B106">
        <v>40.028700000000001</v>
      </c>
      <c r="C106" s="1">
        <v>45016.432720150464</v>
      </c>
      <c r="D106">
        <v>39.625500000000002</v>
      </c>
      <c r="E106" s="1">
        <v>45016.432720150464</v>
      </c>
      <c r="F106">
        <v>37.872300000000003</v>
      </c>
      <c r="G106">
        <f t="shared" si="3"/>
        <v>39827100</v>
      </c>
      <c r="H106">
        <f t="shared" si="4"/>
        <v>104</v>
      </c>
      <c r="I106">
        <f t="shared" si="5"/>
        <v>100</v>
      </c>
      <c r="J106">
        <v>37.872300000000003</v>
      </c>
    </row>
    <row r="107" spans="1:10" x14ac:dyDescent="0.2">
      <c r="A107" s="1">
        <v>45016.432731724541</v>
      </c>
      <c r="B107">
        <v>40.028599999999997</v>
      </c>
      <c r="C107" s="1">
        <v>45016.432731724541</v>
      </c>
      <c r="D107">
        <v>39.625399999999999</v>
      </c>
      <c r="E107" s="1">
        <v>45016.432731724541</v>
      </c>
      <c r="F107">
        <v>37.886499999999998</v>
      </c>
      <c r="G107">
        <f t="shared" si="3"/>
        <v>39827000</v>
      </c>
      <c r="H107">
        <f t="shared" si="4"/>
        <v>105</v>
      </c>
      <c r="I107">
        <f t="shared" si="5"/>
        <v>-100</v>
      </c>
      <c r="J107">
        <v>37.886499999999998</v>
      </c>
    </row>
    <row r="108" spans="1:10" x14ac:dyDescent="0.2">
      <c r="A108" s="1">
        <v>45016.43274329861</v>
      </c>
      <c r="B108">
        <v>40.028700000000001</v>
      </c>
      <c r="C108" s="1">
        <v>45016.43274329861</v>
      </c>
      <c r="D108">
        <v>39.625500000000002</v>
      </c>
      <c r="E108" s="1">
        <v>45016.43274329861</v>
      </c>
      <c r="F108">
        <v>37.874099999999999</v>
      </c>
      <c r="G108">
        <f t="shared" si="3"/>
        <v>39827100</v>
      </c>
      <c r="H108">
        <f t="shared" si="4"/>
        <v>106</v>
      </c>
      <c r="I108">
        <f t="shared" si="5"/>
        <v>100</v>
      </c>
      <c r="J108">
        <v>37.874099999999999</v>
      </c>
    </row>
    <row r="109" spans="1:10" x14ac:dyDescent="0.2">
      <c r="A109" s="1">
        <v>45016.432754872687</v>
      </c>
      <c r="B109">
        <v>40.028599999999997</v>
      </c>
      <c r="C109" s="1">
        <v>45016.432754872687</v>
      </c>
      <c r="D109">
        <v>39.625399999999999</v>
      </c>
      <c r="E109" s="1">
        <v>45016.432754872687</v>
      </c>
      <c r="F109">
        <v>37.883299999999998</v>
      </c>
      <c r="G109">
        <f t="shared" si="3"/>
        <v>39827000</v>
      </c>
      <c r="H109">
        <f t="shared" si="4"/>
        <v>107</v>
      </c>
      <c r="I109">
        <f t="shared" si="5"/>
        <v>-100</v>
      </c>
      <c r="J109">
        <v>37.883299999999998</v>
      </c>
    </row>
    <row r="110" spans="1:10" x14ac:dyDescent="0.2">
      <c r="A110" s="1">
        <v>45016.432766446756</v>
      </c>
      <c r="B110">
        <v>40.028700000000001</v>
      </c>
      <c r="C110" s="1">
        <v>45016.432766446756</v>
      </c>
      <c r="D110">
        <v>39.625500000000002</v>
      </c>
      <c r="E110" s="1">
        <v>45016.432766446756</v>
      </c>
      <c r="F110">
        <v>37.879100000000001</v>
      </c>
      <c r="G110">
        <f t="shared" si="3"/>
        <v>39827100</v>
      </c>
      <c r="H110">
        <f t="shared" si="4"/>
        <v>108</v>
      </c>
      <c r="I110">
        <f t="shared" si="5"/>
        <v>100</v>
      </c>
      <c r="J110">
        <v>37.879100000000001</v>
      </c>
    </row>
    <row r="111" spans="1:10" x14ac:dyDescent="0.2">
      <c r="A111" s="1">
        <v>45016.432778020833</v>
      </c>
      <c r="B111">
        <v>40.028500000000001</v>
      </c>
      <c r="C111" s="1">
        <v>45016.432778020833</v>
      </c>
      <c r="D111">
        <v>39.625399999999999</v>
      </c>
      <c r="E111" s="1">
        <v>45016.432778020833</v>
      </c>
      <c r="F111">
        <v>37.877499999999998</v>
      </c>
      <c r="G111">
        <f t="shared" si="3"/>
        <v>39826950</v>
      </c>
      <c r="H111">
        <f t="shared" si="4"/>
        <v>109</v>
      </c>
      <c r="I111">
        <f t="shared" si="5"/>
        <v>-150</v>
      </c>
      <c r="J111">
        <v>37.877499999999998</v>
      </c>
    </row>
    <row r="112" spans="1:10" x14ac:dyDescent="0.2">
      <c r="A112" s="1">
        <v>45016.43278959491</v>
      </c>
      <c r="B112">
        <v>40.028700000000001</v>
      </c>
      <c r="C112" s="1">
        <v>45016.43278959491</v>
      </c>
      <c r="D112">
        <v>39.625500000000002</v>
      </c>
      <c r="E112" s="1">
        <v>45016.43278959491</v>
      </c>
      <c r="F112">
        <v>37.883000000000003</v>
      </c>
      <c r="G112">
        <f t="shared" si="3"/>
        <v>39827100</v>
      </c>
      <c r="H112">
        <f t="shared" si="4"/>
        <v>110</v>
      </c>
      <c r="I112">
        <f t="shared" si="5"/>
        <v>150</v>
      </c>
      <c r="J112">
        <v>37.883000000000003</v>
      </c>
    </row>
    <row r="113" spans="1:10" x14ac:dyDescent="0.2">
      <c r="A113" s="1">
        <v>45016.432801168979</v>
      </c>
      <c r="B113">
        <v>40.028599999999997</v>
      </c>
      <c r="C113" s="1">
        <v>45016.432801168979</v>
      </c>
      <c r="D113">
        <v>39.625399999999999</v>
      </c>
      <c r="E113" s="1">
        <v>45016.432801168979</v>
      </c>
      <c r="F113">
        <v>37.869900000000001</v>
      </c>
      <c r="G113">
        <f t="shared" si="3"/>
        <v>39827000</v>
      </c>
      <c r="H113">
        <f t="shared" si="4"/>
        <v>111</v>
      </c>
      <c r="I113">
        <f t="shared" si="5"/>
        <v>-100</v>
      </c>
      <c r="J113">
        <v>37.869900000000001</v>
      </c>
    </row>
    <row r="114" spans="1:10" x14ac:dyDescent="0.2">
      <c r="A114" s="1">
        <v>45016.432812743056</v>
      </c>
      <c r="B114">
        <v>40.028599999999997</v>
      </c>
      <c r="C114" s="1">
        <v>45016.432812743056</v>
      </c>
      <c r="D114">
        <v>39.625399999999999</v>
      </c>
      <c r="E114" s="1">
        <v>45016.432812743056</v>
      </c>
      <c r="F114">
        <v>37.887599999999999</v>
      </c>
      <c r="G114">
        <f t="shared" si="3"/>
        <v>39827000</v>
      </c>
      <c r="H114">
        <f t="shared" si="4"/>
        <v>112</v>
      </c>
      <c r="I114">
        <f t="shared" si="5"/>
        <v>0</v>
      </c>
      <c r="J114">
        <v>37.887599999999999</v>
      </c>
    </row>
    <row r="115" spans="1:10" x14ac:dyDescent="0.2">
      <c r="A115" s="1">
        <v>45016.432824317133</v>
      </c>
      <c r="B115">
        <v>40.028599999999997</v>
      </c>
      <c r="C115" s="1">
        <v>45016.432824317133</v>
      </c>
      <c r="D115">
        <v>39.625399999999999</v>
      </c>
      <c r="E115" s="1">
        <v>45016.432824317133</v>
      </c>
      <c r="F115">
        <v>37.866100000000003</v>
      </c>
      <c r="G115">
        <f t="shared" si="3"/>
        <v>39827000</v>
      </c>
      <c r="H115">
        <f t="shared" si="4"/>
        <v>113</v>
      </c>
      <c r="I115">
        <f t="shared" si="5"/>
        <v>0</v>
      </c>
      <c r="J115">
        <v>37.866100000000003</v>
      </c>
    </row>
    <row r="116" spans="1:10" x14ac:dyDescent="0.2">
      <c r="A116" s="1">
        <v>45016.432835891203</v>
      </c>
      <c r="B116">
        <v>40.028599999999997</v>
      </c>
      <c r="C116" s="1">
        <v>45016.432835891203</v>
      </c>
      <c r="D116">
        <v>39.625399999999999</v>
      </c>
      <c r="E116" s="1">
        <v>45016.432835891203</v>
      </c>
      <c r="F116">
        <v>37.886200000000002</v>
      </c>
      <c r="G116">
        <f t="shared" si="3"/>
        <v>39827000</v>
      </c>
      <c r="H116">
        <f t="shared" si="4"/>
        <v>114</v>
      </c>
      <c r="I116">
        <f t="shared" si="5"/>
        <v>0</v>
      </c>
      <c r="J116">
        <v>37.886200000000002</v>
      </c>
    </row>
    <row r="117" spans="1:10" x14ac:dyDescent="0.2">
      <c r="A117" s="1">
        <v>45016.432847465279</v>
      </c>
      <c r="B117">
        <v>40.028700000000001</v>
      </c>
      <c r="C117" s="1">
        <v>45016.432847465279</v>
      </c>
      <c r="D117">
        <v>39.625500000000002</v>
      </c>
      <c r="E117" s="1">
        <v>45016.432847465279</v>
      </c>
      <c r="F117">
        <v>37.872300000000003</v>
      </c>
      <c r="G117">
        <f t="shared" si="3"/>
        <v>39827100</v>
      </c>
      <c r="H117">
        <f t="shared" si="4"/>
        <v>115</v>
      </c>
      <c r="I117">
        <f t="shared" si="5"/>
        <v>100</v>
      </c>
      <c r="J117">
        <v>37.872300000000003</v>
      </c>
    </row>
    <row r="118" spans="1:10" x14ac:dyDescent="0.2">
      <c r="A118" s="1">
        <v>45016.432859050925</v>
      </c>
      <c r="B118">
        <v>40.028500000000001</v>
      </c>
      <c r="C118" s="1">
        <v>45016.432859050925</v>
      </c>
      <c r="D118">
        <v>39.625399999999999</v>
      </c>
      <c r="E118" s="1">
        <v>45016.432859050925</v>
      </c>
      <c r="F118">
        <v>37.878700000000002</v>
      </c>
      <c r="G118">
        <f t="shared" si="3"/>
        <v>39826950</v>
      </c>
      <c r="H118">
        <f t="shared" si="4"/>
        <v>116</v>
      </c>
      <c r="I118">
        <f t="shared" si="5"/>
        <v>-150</v>
      </c>
      <c r="J118">
        <v>37.878700000000002</v>
      </c>
    </row>
    <row r="119" spans="1:10" x14ac:dyDescent="0.2">
      <c r="A119" s="1">
        <v>45016.432870613426</v>
      </c>
      <c r="B119">
        <v>40.028700000000001</v>
      </c>
      <c r="C119" s="1">
        <v>45016.432870613426</v>
      </c>
      <c r="D119">
        <v>39.625500000000002</v>
      </c>
      <c r="E119" s="1">
        <v>45016.432870613426</v>
      </c>
      <c r="F119">
        <v>37.879100000000001</v>
      </c>
      <c r="G119">
        <f t="shared" si="3"/>
        <v>39827100</v>
      </c>
      <c r="H119">
        <f t="shared" si="4"/>
        <v>117</v>
      </c>
      <c r="I119">
        <f t="shared" si="5"/>
        <v>150</v>
      </c>
      <c r="J119">
        <v>37.879100000000001</v>
      </c>
    </row>
    <row r="120" spans="1:10" x14ac:dyDescent="0.2">
      <c r="A120" s="1">
        <v>45016.432882187502</v>
      </c>
      <c r="B120">
        <v>40.028500000000001</v>
      </c>
      <c r="C120" s="1">
        <v>45016.432882187502</v>
      </c>
      <c r="D120">
        <v>39.625399999999999</v>
      </c>
      <c r="E120" s="1">
        <v>45016.432882187502</v>
      </c>
      <c r="F120">
        <v>37.869</v>
      </c>
      <c r="G120">
        <f t="shared" si="3"/>
        <v>39826950</v>
      </c>
      <c r="H120">
        <f t="shared" si="4"/>
        <v>118</v>
      </c>
      <c r="I120">
        <f t="shared" si="5"/>
        <v>-150</v>
      </c>
      <c r="J120">
        <v>37.869</v>
      </c>
    </row>
    <row r="121" spans="1:10" x14ac:dyDescent="0.2">
      <c r="A121" s="1">
        <v>45016.432893761572</v>
      </c>
      <c r="B121">
        <v>40.028599999999997</v>
      </c>
      <c r="C121" s="1">
        <v>45016.432893761572</v>
      </c>
      <c r="D121">
        <v>39.625399999999999</v>
      </c>
      <c r="E121" s="1">
        <v>45016.432893761572</v>
      </c>
      <c r="F121">
        <v>37.885599999999997</v>
      </c>
      <c r="G121">
        <f t="shared" si="3"/>
        <v>39827000</v>
      </c>
      <c r="H121">
        <f t="shared" si="4"/>
        <v>119</v>
      </c>
      <c r="I121">
        <f t="shared" si="5"/>
        <v>50</v>
      </c>
      <c r="J121">
        <v>37.885599999999997</v>
      </c>
    </row>
    <row r="122" spans="1:10" x14ac:dyDescent="0.2">
      <c r="A122" s="1">
        <v>45016.432905347225</v>
      </c>
      <c r="B122">
        <v>40.028599999999997</v>
      </c>
      <c r="C122" s="1">
        <v>45016.432905347225</v>
      </c>
      <c r="D122">
        <v>39.625399999999999</v>
      </c>
      <c r="E122" s="1">
        <v>45016.432905347225</v>
      </c>
      <c r="F122">
        <v>37.864899999999999</v>
      </c>
      <c r="G122">
        <f t="shared" si="3"/>
        <v>39827000</v>
      </c>
      <c r="H122">
        <f t="shared" si="4"/>
        <v>120</v>
      </c>
      <c r="I122">
        <f t="shared" si="5"/>
        <v>0</v>
      </c>
      <c r="J122">
        <v>37.864899999999999</v>
      </c>
    </row>
    <row r="123" spans="1:10" x14ac:dyDescent="0.2">
      <c r="A123" s="1">
        <v>45016.432916909725</v>
      </c>
      <c r="B123">
        <v>40.028500000000001</v>
      </c>
      <c r="C123" s="1">
        <v>45016.432916909725</v>
      </c>
      <c r="D123">
        <v>39.625399999999999</v>
      </c>
      <c r="E123" s="1">
        <v>45016.432916909725</v>
      </c>
      <c r="F123">
        <v>37.883899999999997</v>
      </c>
      <c r="G123">
        <f t="shared" si="3"/>
        <v>39826950</v>
      </c>
      <c r="H123">
        <f t="shared" si="4"/>
        <v>121</v>
      </c>
      <c r="I123">
        <f t="shared" si="5"/>
        <v>-50</v>
      </c>
      <c r="J123">
        <v>37.883899999999997</v>
      </c>
    </row>
    <row r="124" spans="1:10" x14ac:dyDescent="0.2">
      <c r="A124" s="1">
        <v>45016.432928483795</v>
      </c>
      <c r="B124">
        <v>40.028700000000001</v>
      </c>
      <c r="C124" s="1">
        <v>45016.432928483795</v>
      </c>
      <c r="D124">
        <v>39.625500000000002</v>
      </c>
      <c r="E124" s="1">
        <v>45016.432928483795</v>
      </c>
      <c r="F124">
        <v>37.871400000000001</v>
      </c>
      <c r="G124">
        <f t="shared" si="3"/>
        <v>39827100</v>
      </c>
      <c r="H124">
        <f t="shared" si="4"/>
        <v>122</v>
      </c>
      <c r="I124">
        <f t="shared" si="5"/>
        <v>150</v>
      </c>
      <c r="J124">
        <v>37.871400000000001</v>
      </c>
    </row>
    <row r="125" spans="1:10" x14ac:dyDescent="0.2">
      <c r="A125" s="1">
        <v>45016.432940069448</v>
      </c>
      <c r="B125">
        <v>40.028500000000001</v>
      </c>
      <c r="C125" s="1">
        <v>45016.432940069448</v>
      </c>
      <c r="D125">
        <v>39.625399999999999</v>
      </c>
      <c r="E125" s="1">
        <v>45016.432940069448</v>
      </c>
      <c r="F125">
        <v>37.8765</v>
      </c>
      <c r="G125">
        <f t="shared" si="3"/>
        <v>39826950</v>
      </c>
      <c r="H125">
        <f t="shared" si="4"/>
        <v>123</v>
      </c>
      <c r="I125">
        <f t="shared" si="5"/>
        <v>-150</v>
      </c>
      <c r="J125">
        <v>37.8765</v>
      </c>
    </row>
    <row r="126" spans="1:10" x14ac:dyDescent="0.2">
      <c r="A126" s="1">
        <v>45016.432951631941</v>
      </c>
      <c r="B126">
        <v>40.028599999999997</v>
      </c>
      <c r="C126" s="1">
        <v>45016.432951631941</v>
      </c>
      <c r="D126">
        <v>39.625399999999999</v>
      </c>
      <c r="E126" s="1">
        <v>45016.432951631941</v>
      </c>
      <c r="F126">
        <v>37.877200000000002</v>
      </c>
      <c r="G126">
        <f t="shared" si="3"/>
        <v>39827000</v>
      </c>
      <c r="H126">
        <f t="shared" si="4"/>
        <v>124</v>
      </c>
      <c r="I126">
        <f t="shared" si="5"/>
        <v>50</v>
      </c>
      <c r="J126">
        <v>37.877200000000002</v>
      </c>
    </row>
    <row r="127" spans="1:10" x14ac:dyDescent="0.2">
      <c r="A127" s="1">
        <v>45016.432963206018</v>
      </c>
      <c r="B127">
        <v>40.028500000000001</v>
      </c>
      <c r="C127" s="1">
        <v>45016.432963206018</v>
      </c>
      <c r="D127">
        <v>39.625399999999999</v>
      </c>
      <c r="E127" s="1">
        <v>45016.432963206018</v>
      </c>
      <c r="F127">
        <v>37.868699999999997</v>
      </c>
      <c r="G127">
        <f t="shared" si="3"/>
        <v>39826950</v>
      </c>
      <c r="H127">
        <f t="shared" si="4"/>
        <v>125</v>
      </c>
      <c r="I127">
        <f t="shared" si="5"/>
        <v>-50</v>
      </c>
      <c r="J127">
        <v>37.868699999999997</v>
      </c>
    </row>
    <row r="128" spans="1:10" x14ac:dyDescent="0.2">
      <c r="A128" s="1">
        <v>45016.432974791664</v>
      </c>
      <c r="B128">
        <v>40.028599999999997</v>
      </c>
      <c r="C128" s="1">
        <v>45016.432974791664</v>
      </c>
      <c r="D128">
        <v>39.625399999999999</v>
      </c>
      <c r="E128" s="1">
        <v>45016.432974791664</v>
      </c>
      <c r="F128">
        <v>37.883400000000002</v>
      </c>
      <c r="G128">
        <f t="shared" si="3"/>
        <v>39827000</v>
      </c>
      <c r="H128">
        <f t="shared" si="4"/>
        <v>126</v>
      </c>
      <c r="I128">
        <f t="shared" si="5"/>
        <v>50</v>
      </c>
      <c r="J128">
        <v>37.883400000000002</v>
      </c>
    </row>
    <row r="129" spans="1:10" x14ac:dyDescent="0.2">
      <c r="A129" s="1">
        <v>45016.432986354164</v>
      </c>
      <c r="B129">
        <v>40.028599999999997</v>
      </c>
      <c r="C129" s="1">
        <v>45016.432986354164</v>
      </c>
      <c r="D129">
        <v>39.625399999999999</v>
      </c>
      <c r="E129" s="1">
        <v>45016.432986354164</v>
      </c>
      <c r="F129">
        <v>37.864600000000003</v>
      </c>
      <c r="G129">
        <f t="shared" si="3"/>
        <v>39827000</v>
      </c>
      <c r="H129">
        <f t="shared" si="4"/>
        <v>127</v>
      </c>
      <c r="I129">
        <f t="shared" si="5"/>
        <v>0</v>
      </c>
      <c r="J129">
        <v>37.864600000000003</v>
      </c>
    </row>
    <row r="130" spans="1:10" x14ac:dyDescent="0.2">
      <c r="A130" s="1">
        <v>45016.432997928241</v>
      </c>
      <c r="B130">
        <v>40.028599999999997</v>
      </c>
      <c r="C130" s="1">
        <v>45016.432997928241</v>
      </c>
      <c r="D130">
        <v>39.625399999999999</v>
      </c>
      <c r="E130" s="1">
        <v>45016.432997928241</v>
      </c>
      <c r="F130">
        <v>37.883099999999999</v>
      </c>
      <c r="G130">
        <f t="shared" si="3"/>
        <v>39827000</v>
      </c>
      <c r="H130">
        <f t="shared" si="4"/>
        <v>128</v>
      </c>
      <c r="I130">
        <f t="shared" si="5"/>
        <v>0</v>
      </c>
      <c r="J130">
        <v>37.883099999999999</v>
      </c>
    </row>
    <row r="131" spans="1:10" x14ac:dyDescent="0.2">
      <c r="A131" s="1">
        <v>45016.433009502318</v>
      </c>
      <c r="B131">
        <v>40.028599999999997</v>
      </c>
      <c r="C131" s="1">
        <v>45016.433009502318</v>
      </c>
      <c r="D131">
        <v>39.625399999999999</v>
      </c>
      <c r="E131" s="1">
        <v>45016.433009502318</v>
      </c>
      <c r="F131">
        <v>37.868000000000002</v>
      </c>
      <c r="G131">
        <f t="shared" ref="G131:G140" si="6">AVERAGE(B131,D131)*1000000</f>
        <v>39827000</v>
      </c>
      <c r="H131">
        <f t="shared" si="4"/>
        <v>129</v>
      </c>
      <c r="I131">
        <f t="shared" si="5"/>
        <v>0</v>
      </c>
      <c r="J131">
        <v>37.868000000000002</v>
      </c>
    </row>
    <row r="132" spans="1:10" x14ac:dyDescent="0.2">
      <c r="A132" s="1">
        <v>45016.433021087963</v>
      </c>
      <c r="B132">
        <v>40.028599999999997</v>
      </c>
      <c r="C132" s="1">
        <v>45016.433021087963</v>
      </c>
      <c r="D132">
        <v>39.625399999999999</v>
      </c>
      <c r="E132" s="1">
        <v>45016.433021087963</v>
      </c>
      <c r="F132">
        <v>37.876600000000003</v>
      </c>
      <c r="G132">
        <f t="shared" si="6"/>
        <v>39827000</v>
      </c>
      <c r="H132">
        <f t="shared" ref="H132:H140" si="7">H131+1</f>
        <v>130</v>
      </c>
      <c r="I132">
        <f t="shared" ref="I132:I140" si="8">G132-G131</f>
        <v>0</v>
      </c>
      <c r="J132">
        <v>37.876600000000003</v>
      </c>
    </row>
    <row r="133" spans="1:10" x14ac:dyDescent="0.2">
      <c r="A133" s="1">
        <v>45016.43303266204</v>
      </c>
      <c r="B133">
        <v>40.028700000000001</v>
      </c>
      <c r="C133" s="1">
        <v>45016.43303266204</v>
      </c>
      <c r="D133">
        <v>39.625399999999999</v>
      </c>
      <c r="E133" s="1">
        <v>45016.43303266204</v>
      </c>
      <c r="F133">
        <v>37.872999999999998</v>
      </c>
      <c r="G133">
        <f t="shared" si="6"/>
        <v>39827050</v>
      </c>
      <c r="H133">
        <f t="shared" si="7"/>
        <v>131</v>
      </c>
      <c r="I133">
        <f t="shared" si="8"/>
        <v>50</v>
      </c>
      <c r="J133">
        <v>37.872999999999998</v>
      </c>
    </row>
    <row r="134" spans="1:10" x14ac:dyDescent="0.2">
      <c r="A134" s="1">
        <v>45016.433044224534</v>
      </c>
      <c r="B134">
        <v>40.028599999999997</v>
      </c>
      <c r="C134" s="1">
        <v>45016.433044224534</v>
      </c>
      <c r="D134">
        <v>39.625399999999999</v>
      </c>
      <c r="E134" s="1">
        <v>45016.433044224534</v>
      </c>
      <c r="F134">
        <v>37.868000000000002</v>
      </c>
      <c r="G134">
        <f t="shared" si="6"/>
        <v>39827000</v>
      </c>
      <c r="H134">
        <f t="shared" si="7"/>
        <v>132</v>
      </c>
      <c r="I134">
        <f t="shared" si="8"/>
        <v>-50</v>
      </c>
      <c r="J134">
        <v>37.868000000000002</v>
      </c>
    </row>
    <row r="135" spans="1:10" x14ac:dyDescent="0.2">
      <c r="A135" s="1">
        <v>45016.43305579861</v>
      </c>
      <c r="B135">
        <v>40.028599999999997</v>
      </c>
      <c r="C135" s="1">
        <v>45016.43305579861</v>
      </c>
      <c r="D135">
        <v>39.625399999999999</v>
      </c>
      <c r="E135" s="1">
        <v>45016.43305579861</v>
      </c>
      <c r="F135">
        <v>37.880099999999999</v>
      </c>
      <c r="G135">
        <f t="shared" si="6"/>
        <v>39827000</v>
      </c>
      <c r="H135">
        <f t="shared" si="7"/>
        <v>133</v>
      </c>
      <c r="I135">
        <f t="shared" si="8"/>
        <v>0</v>
      </c>
      <c r="J135">
        <v>37.880099999999999</v>
      </c>
    </row>
    <row r="136" spans="1:10" x14ac:dyDescent="0.2">
      <c r="A136" s="1">
        <v>45016.433067372687</v>
      </c>
      <c r="B136">
        <v>40.028599999999997</v>
      </c>
      <c r="C136" s="1">
        <v>45016.433067372687</v>
      </c>
      <c r="D136">
        <v>39.625399999999999</v>
      </c>
      <c r="E136" s="1">
        <v>45016.433067372687</v>
      </c>
      <c r="F136">
        <v>37.863700000000001</v>
      </c>
      <c r="G136">
        <f t="shared" si="6"/>
        <v>39827000</v>
      </c>
      <c r="H136">
        <f t="shared" si="7"/>
        <v>134</v>
      </c>
      <c r="I136">
        <f t="shared" si="8"/>
        <v>0</v>
      </c>
      <c r="J136">
        <v>37.863700000000001</v>
      </c>
    </row>
    <row r="137" spans="1:10" x14ac:dyDescent="0.2">
      <c r="A137" s="1">
        <v>45016.433078946757</v>
      </c>
      <c r="B137">
        <v>40.028599999999997</v>
      </c>
      <c r="C137" s="1">
        <v>45016.433078946757</v>
      </c>
      <c r="D137">
        <v>39.625399999999999</v>
      </c>
      <c r="E137" s="1">
        <v>45016.433078946757</v>
      </c>
      <c r="F137">
        <v>37.881</v>
      </c>
      <c r="G137">
        <f t="shared" si="6"/>
        <v>39827000</v>
      </c>
      <c r="H137">
        <f t="shared" si="7"/>
        <v>135</v>
      </c>
      <c r="I137">
        <f t="shared" si="8"/>
        <v>0</v>
      </c>
      <c r="J137">
        <v>37.881</v>
      </c>
    </row>
    <row r="138" spans="1:10" x14ac:dyDescent="0.2">
      <c r="A138" s="1">
        <v>45016.43309053241</v>
      </c>
      <c r="B138">
        <v>40.028599999999997</v>
      </c>
      <c r="C138" s="1">
        <v>45016.43309053241</v>
      </c>
      <c r="D138">
        <v>39.625399999999999</v>
      </c>
      <c r="E138" s="1">
        <v>45016.43309053241</v>
      </c>
      <c r="F138">
        <v>37.863900000000001</v>
      </c>
      <c r="G138">
        <f t="shared" si="6"/>
        <v>39827000</v>
      </c>
      <c r="H138">
        <f t="shared" si="7"/>
        <v>136</v>
      </c>
      <c r="I138">
        <f t="shared" si="8"/>
        <v>0</v>
      </c>
      <c r="J138">
        <v>37.863900000000001</v>
      </c>
    </row>
    <row r="139" spans="1:10" x14ac:dyDescent="0.2">
      <c r="A139" s="1">
        <v>45016.43310209491</v>
      </c>
      <c r="B139">
        <v>40.028500000000001</v>
      </c>
      <c r="C139" s="1">
        <v>45016.43310209491</v>
      </c>
      <c r="D139">
        <v>39.625399999999999</v>
      </c>
      <c r="E139" s="1">
        <v>45016.43310209491</v>
      </c>
      <c r="F139">
        <v>37.878999999999998</v>
      </c>
      <c r="G139">
        <f t="shared" si="6"/>
        <v>39826950</v>
      </c>
      <c r="H139">
        <f t="shared" si="7"/>
        <v>137</v>
      </c>
      <c r="I139">
        <f t="shared" si="8"/>
        <v>-50</v>
      </c>
      <c r="J139">
        <v>37.878999999999998</v>
      </c>
    </row>
    <row r="140" spans="1:10" x14ac:dyDescent="0.2">
      <c r="A140" s="1">
        <v>45016.43311366898</v>
      </c>
      <c r="B140">
        <v>40.028599999999997</v>
      </c>
      <c r="C140" s="1">
        <v>45016.43311366898</v>
      </c>
      <c r="D140">
        <v>39.625399999999999</v>
      </c>
      <c r="E140" s="1">
        <v>45016.43311366898</v>
      </c>
      <c r="F140">
        <v>37.866399999999999</v>
      </c>
      <c r="G140">
        <f t="shared" si="6"/>
        <v>39827000</v>
      </c>
      <c r="H140">
        <f t="shared" si="7"/>
        <v>138</v>
      </c>
      <c r="I140">
        <f t="shared" si="8"/>
        <v>50</v>
      </c>
      <c r="J140">
        <v>37.866399999999999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156EF-5CF4-F945-A196-130E0DE27A8A}">
  <dimension ref="A1:J101"/>
  <sheetViews>
    <sheetView topLeftCell="H1" workbookViewId="0">
      <selection activeCell="I3" sqref="I3"/>
    </sheetView>
  </sheetViews>
  <sheetFormatPr baseColWidth="10" defaultRowHeight="16" x14ac:dyDescent="0.2"/>
  <cols>
    <col min="1" max="1" width="17.5" customWidth="1"/>
    <col min="2" max="2" width="21.6640625" customWidth="1"/>
    <col min="3" max="4" width="30" customWidth="1"/>
    <col min="5" max="6" width="19.6640625" customWidth="1"/>
    <col min="7" max="7" width="37.33203125" customWidth="1"/>
    <col min="8" max="8" width="24.83203125" customWidth="1"/>
    <col min="9" max="9" width="30.33203125" customWidth="1"/>
    <col min="10" max="10" width="19.6640625" customWidth="1"/>
  </cols>
  <sheetData>
    <row r="1" spans="1:10" x14ac:dyDescent="0.2">
      <c r="A1" t="s">
        <v>9</v>
      </c>
      <c r="B1" t="s">
        <v>3</v>
      </c>
      <c r="C1" t="s">
        <v>10</v>
      </c>
      <c r="D1" t="s">
        <v>4</v>
      </c>
      <c r="E1" t="s">
        <v>11</v>
      </c>
      <c r="F1" t="s">
        <v>1</v>
      </c>
      <c r="G1" t="s">
        <v>6</v>
      </c>
      <c r="H1" t="s">
        <v>12</v>
      </c>
      <c r="I1" t="s">
        <v>13</v>
      </c>
      <c r="J1" t="s">
        <v>1</v>
      </c>
    </row>
    <row r="2" spans="1:10" x14ac:dyDescent="0.2">
      <c r="A2" s="1">
        <v>45016.431967835648</v>
      </c>
      <c r="B2">
        <v>40.028799999999997</v>
      </c>
      <c r="C2" s="1">
        <v>45016.431967835648</v>
      </c>
      <c r="D2">
        <v>39.625599999999999</v>
      </c>
      <c r="E2" s="1">
        <v>45016.431967835648</v>
      </c>
      <c r="F2">
        <v>37.926499999999997</v>
      </c>
      <c r="G2">
        <f t="shared" ref="G2:G27" si="0">AVERAGE(B2,D2)*1000000</f>
        <v>39827200</v>
      </c>
      <c r="H2">
        <v>0</v>
      </c>
      <c r="I2">
        <v>0</v>
      </c>
      <c r="J2">
        <v>37.926499999999997</v>
      </c>
    </row>
    <row r="3" spans="1:10" x14ac:dyDescent="0.2">
      <c r="A3" s="1">
        <v>45016.431979409725</v>
      </c>
      <c r="B3">
        <v>40.028500000000001</v>
      </c>
      <c r="C3" s="1">
        <v>45016.431979409725</v>
      </c>
      <c r="D3">
        <v>39.625300000000003</v>
      </c>
      <c r="E3" s="1">
        <v>45016.431979409725</v>
      </c>
      <c r="F3">
        <v>37.944400000000002</v>
      </c>
      <c r="G3">
        <f t="shared" si="0"/>
        <v>39826900</v>
      </c>
      <c r="I3">
        <f t="shared" ref="I3:I28" si="1">G3-G2</f>
        <v>-300</v>
      </c>
      <c r="J3">
        <v>37.944400000000002</v>
      </c>
    </row>
    <row r="4" spans="1:10" x14ac:dyDescent="0.2">
      <c r="A4" s="1">
        <v>45016.431990983794</v>
      </c>
      <c r="B4">
        <v>40.028700000000001</v>
      </c>
      <c r="C4" s="1">
        <v>45016.431990983794</v>
      </c>
      <c r="D4">
        <v>39.625500000000002</v>
      </c>
      <c r="E4" s="1">
        <v>45016.431990983794</v>
      </c>
      <c r="F4">
        <v>37.948900000000002</v>
      </c>
      <c r="G4">
        <f t="shared" si="0"/>
        <v>39827100</v>
      </c>
      <c r="H4">
        <f t="shared" ref="H3:H28" si="2">H3+1</f>
        <v>1</v>
      </c>
      <c r="I4">
        <f t="shared" si="1"/>
        <v>200</v>
      </c>
      <c r="J4">
        <v>37.948900000000002</v>
      </c>
    </row>
    <row r="5" spans="1:10" x14ac:dyDescent="0.2">
      <c r="A5" s="1">
        <v>45016.432002569447</v>
      </c>
      <c r="B5">
        <v>40.028500000000001</v>
      </c>
      <c r="C5" s="1">
        <v>45016.432002569447</v>
      </c>
      <c r="D5">
        <v>39.625300000000003</v>
      </c>
      <c r="E5" s="1">
        <v>45016.432002569447</v>
      </c>
      <c r="F5">
        <v>37.918399999999998</v>
      </c>
      <c r="G5">
        <f t="shared" si="0"/>
        <v>39826900</v>
      </c>
      <c r="H5">
        <f t="shared" si="2"/>
        <v>2</v>
      </c>
      <c r="I5">
        <f t="shared" si="1"/>
        <v>-200</v>
      </c>
      <c r="J5">
        <v>37.918399999999998</v>
      </c>
    </row>
    <row r="6" spans="1:10" x14ac:dyDescent="0.2">
      <c r="A6" s="1">
        <v>45016.432014143516</v>
      </c>
      <c r="B6">
        <v>40.028700000000001</v>
      </c>
      <c r="C6" s="1">
        <v>45016.432014143516</v>
      </c>
      <c r="D6">
        <v>39.625500000000002</v>
      </c>
      <c r="E6" s="1">
        <v>45016.432014143516</v>
      </c>
      <c r="F6">
        <v>37.951999999999998</v>
      </c>
      <c r="G6">
        <f t="shared" si="0"/>
        <v>39827100</v>
      </c>
      <c r="H6">
        <f t="shared" si="2"/>
        <v>3</v>
      </c>
      <c r="I6">
        <f t="shared" si="1"/>
        <v>200</v>
      </c>
      <c r="J6">
        <v>37.951999999999998</v>
      </c>
    </row>
    <row r="7" spans="1:10" x14ac:dyDescent="0.2">
      <c r="A7" s="1">
        <v>45016.432025706017</v>
      </c>
      <c r="B7">
        <v>40.028500000000001</v>
      </c>
      <c r="C7" s="1">
        <v>45016.432025706017</v>
      </c>
      <c r="D7">
        <v>39.625300000000003</v>
      </c>
      <c r="E7" s="1">
        <v>45016.432025706017</v>
      </c>
      <c r="F7">
        <v>37.915300000000002</v>
      </c>
      <c r="G7">
        <f t="shared" si="0"/>
        <v>39826900</v>
      </c>
      <c r="H7">
        <f t="shared" si="2"/>
        <v>4</v>
      </c>
      <c r="I7">
        <f t="shared" si="1"/>
        <v>-200</v>
      </c>
      <c r="J7">
        <v>37.915300000000002</v>
      </c>
    </row>
    <row r="8" spans="1:10" x14ac:dyDescent="0.2">
      <c r="A8" s="1">
        <v>45016.432037280094</v>
      </c>
      <c r="B8">
        <v>40.028700000000001</v>
      </c>
      <c r="C8" s="1">
        <v>45016.432037280094</v>
      </c>
      <c r="D8">
        <v>39.625500000000002</v>
      </c>
      <c r="E8" s="1">
        <v>45016.432037280094</v>
      </c>
      <c r="F8">
        <v>37.939</v>
      </c>
      <c r="G8">
        <f t="shared" si="0"/>
        <v>39827100</v>
      </c>
      <c r="H8">
        <f t="shared" si="2"/>
        <v>5</v>
      </c>
      <c r="I8">
        <f t="shared" si="1"/>
        <v>200</v>
      </c>
      <c r="J8">
        <v>37.939</v>
      </c>
    </row>
    <row r="9" spans="1:10" x14ac:dyDescent="0.2">
      <c r="A9" s="1">
        <v>45016.432048854163</v>
      </c>
      <c r="B9">
        <v>40.028500000000001</v>
      </c>
      <c r="C9" s="1">
        <v>45016.432048854163</v>
      </c>
      <c r="D9">
        <v>39.625399999999999</v>
      </c>
      <c r="E9" s="1">
        <v>45016.432048854163</v>
      </c>
      <c r="F9">
        <v>37.903700000000001</v>
      </c>
      <c r="G9">
        <f t="shared" si="0"/>
        <v>39826950</v>
      </c>
      <c r="H9">
        <f t="shared" si="2"/>
        <v>6</v>
      </c>
      <c r="I9">
        <f t="shared" si="1"/>
        <v>-150</v>
      </c>
      <c r="J9">
        <v>37.903700000000001</v>
      </c>
    </row>
    <row r="10" spans="1:10" x14ac:dyDescent="0.2">
      <c r="A10" s="1">
        <v>45016.432060439816</v>
      </c>
      <c r="B10">
        <v>40.028599999999997</v>
      </c>
      <c r="C10" s="1">
        <v>45016.432060439816</v>
      </c>
      <c r="D10">
        <v>39.625399999999999</v>
      </c>
      <c r="E10" s="1">
        <v>45016.432060439816</v>
      </c>
      <c r="F10">
        <v>37.940600000000003</v>
      </c>
      <c r="G10">
        <f t="shared" si="0"/>
        <v>39827000</v>
      </c>
      <c r="H10">
        <f t="shared" si="2"/>
        <v>7</v>
      </c>
      <c r="I10">
        <f t="shared" si="1"/>
        <v>50</v>
      </c>
      <c r="J10">
        <v>37.940600000000003</v>
      </c>
    </row>
    <row r="11" spans="1:10" x14ac:dyDescent="0.2">
      <c r="A11" s="1">
        <v>45016.432072002317</v>
      </c>
      <c r="B11">
        <v>40.028700000000001</v>
      </c>
      <c r="C11" s="1">
        <v>45016.432072002317</v>
      </c>
      <c r="D11">
        <v>39.625500000000002</v>
      </c>
      <c r="E11" s="1">
        <v>45016.432072002317</v>
      </c>
      <c r="F11">
        <v>37.902200000000001</v>
      </c>
      <c r="G11">
        <f t="shared" si="0"/>
        <v>39827100</v>
      </c>
      <c r="H11">
        <f t="shared" si="2"/>
        <v>8</v>
      </c>
      <c r="I11">
        <f t="shared" si="1"/>
        <v>100</v>
      </c>
      <c r="J11">
        <v>37.902200000000001</v>
      </c>
    </row>
    <row r="12" spans="1:10" x14ac:dyDescent="0.2">
      <c r="A12" s="1">
        <v>45016.432083576387</v>
      </c>
      <c r="B12">
        <v>40.028599999999997</v>
      </c>
      <c r="C12" s="1">
        <v>45016.432083576387</v>
      </c>
      <c r="D12">
        <v>39.625399999999999</v>
      </c>
      <c r="E12" s="1">
        <v>45016.432083576387</v>
      </c>
      <c r="F12">
        <v>37.929499999999997</v>
      </c>
      <c r="G12">
        <f t="shared" si="0"/>
        <v>39827000</v>
      </c>
      <c r="H12">
        <f t="shared" si="2"/>
        <v>9</v>
      </c>
      <c r="I12">
        <f t="shared" si="1"/>
        <v>-100</v>
      </c>
      <c r="J12">
        <v>37.929499999999997</v>
      </c>
    </row>
    <row r="13" spans="1:10" x14ac:dyDescent="0.2">
      <c r="A13" s="1">
        <v>45016.432095150463</v>
      </c>
      <c r="B13">
        <v>40.028700000000001</v>
      </c>
      <c r="C13" s="1">
        <v>45016.432095150463</v>
      </c>
      <c r="D13">
        <v>39.625500000000002</v>
      </c>
      <c r="E13" s="1">
        <v>45016.432095150463</v>
      </c>
      <c r="F13">
        <v>37.913200000000003</v>
      </c>
      <c r="G13">
        <f t="shared" si="0"/>
        <v>39827100</v>
      </c>
      <c r="H13">
        <f t="shared" si="2"/>
        <v>10</v>
      </c>
      <c r="I13">
        <f t="shared" si="1"/>
        <v>100</v>
      </c>
      <c r="J13">
        <v>37.913200000000003</v>
      </c>
    </row>
    <row r="14" spans="1:10" x14ac:dyDescent="0.2">
      <c r="A14" s="1">
        <v>45016.43210672454</v>
      </c>
      <c r="B14">
        <v>40.028599999999997</v>
      </c>
      <c r="C14" s="1">
        <v>45016.43210672454</v>
      </c>
      <c r="D14">
        <v>39.625399999999999</v>
      </c>
      <c r="E14" s="1">
        <v>45016.43210672454</v>
      </c>
      <c r="F14">
        <v>37.915300000000002</v>
      </c>
      <c r="G14">
        <f t="shared" si="0"/>
        <v>39827000</v>
      </c>
      <c r="H14">
        <f t="shared" si="2"/>
        <v>11</v>
      </c>
      <c r="I14">
        <f t="shared" si="1"/>
        <v>-100</v>
      </c>
      <c r="J14">
        <v>37.915300000000002</v>
      </c>
    </row>
    <row r="15" spans="1:10" x14ac:dyDescent="0.2">
      <c r="A15" s="1">
        <v>45016.43211829861</v>
      </c>
      <c r="B15">
        <v>40.028700000000001</v>
      </c>
      <c r="C15" s="1">
        <v>45016.43211829861</v>
      </c>
      <c r="D15">
        <v>39.625500000000002</v>
      </c>
      <c r="E15" s="1">
        <v>45016.43211829861</v>
      </c>
      <c r="F15">
        <v>37.920900000000003</v>
      </c>
      <c r="G15">
        <f t="shared" si="0"/>
        <v>39827100</v>
      </c>
      <c r="H15">
        <f t="shared" si="2"/>
        <v>12</v>
      </c>
      <c r="I15">
        <f t="shared" si="1"/>
        <v>100</v>
      </c>
      <c r="J15">
        <v>37.920900000000003</v>
      </c>
    </row>
    <row r="16" spans="1:10" x14ac:dyDescent="0.2">
      <c r="A16" s="1">
        <v>45016.432129884262</v>
      </c>
      <c r="B16">
        <v>40.028599999999997</v>
      </c>
      <c r="C16" s="1">
        <v>45016.432129884262</v>
      </c>
      <c r="D16">
        <v>39.625399999999999</v>
      </c>
      <c r="E16" s="1">
        <v>45016.432129884262</v>
      </c>
      <c r="F16">
        <v>37.903300000000002</v>
      </c>
      <c r="G16">
        <f t="shared" si="0"/>
        <v>39827000</v>
      </c>
      <c r="H16">
        <f t="shared" si="2"/>
        <v>13</v>
      </c>
      <c r="I16">
        <f t="shared" si="1"/>
        <v>-100</v>
      </c>
      <c r="J16">
        <v>37.903300000000002</v>
      </c>
    </row>
    <row r="17" spans="1:10" x14ac:dyDescent="0.2">
      <c r="A17" s="1">
        <v>45016.432141446756</v>
      </c>
      <c r="B17">
        <v>40.028700000000001</v>
      </c>
      <c r="C17" s="1">
        <v>45016.432141446756</v>
      </c>
      <c r="D17">
        <v>39.625500000000002</v>
      </c>
      <c r="E17" s="1">
        <v>45016.432141446756</v>
      </c>
      <c r="F17">
        <v>37.924300000000002</v>
      </c>
      <c r="G17">
        <f t="shared" si="0"/>
        <v>39827100</v>
      </c>
      <c r="H17">
        <f t="shared" si="2"/>
        <v>14</v>
      </c>
      <c r="I17">
        <f t="shared" si="1"/>
        <v>100</v>
      </c>
      <c r="J17">
        <v>37.924300000000002</v>
      </c>
    </row>
    <row r="18" spans="1:10" x14ac:dyDescent="0.2">
      <c r="A18" s="1">
        <v>45016.432153020833</v>
      </c>
      <c r="B18">
        <v>40.028599999999997</v>
      </c>
      <c r="C18" s="1">
        <v>45016.432153020833</v>
      </c>
      <c r="D18">
        <v>39.625399999999999</v>
      </c>
      <c r="E18" s="1">
        <v>45016.432153020833</v>
      </c>
      <c r="F18">
        <v>37.895200000000003</v>
      </c>
      <c r="G18">
        <f t="shared" si="0"/>
        <v>39827000</v>
      </c>
      <c r="H18">
        <f t="shared" si="2"/>
        <v>15</v>
      </c>
      <c r="I18">
        <f t="shared" si="1"/>
        <v>-100</v>
      </c>
      <c r="J18">
        <v>37.895200000000003</v>
      </c>
    </row>
    <row r="19" spans="1:10" x14ac:dyDescent="0.2">
      <c r="A19" s="1">
        <v>45016.432164606478</v>
      </c>
      <c r="B19">
        <v>40.028599999999997</v>
      </c>
      <c r="C19" s="1">
        <v>45016.432164606478</v>
      </c>
      <c r="D19">
        <v>39.625399999999999</v>
      </c>
      <c r="E19" s="1">
        <v>45016.432164606478</v>
      </c>
      <c r="F19">
        <v>37.922800000000002</v>
      </c>
      <c r="G19">
        <f t="shared" si="0"/>
        <v>39827000</v>
      </c>
      <c r="H19">
        <f t="shared" si="2"/>
        <v>16</v>
      </c>
      <c r="I19">
        <f t="shared" si="1"/>
        <v>0</v>
      </c>
      <c r="J19">
        <v>37.922800000000002</v>
      </c>
    </row>
    <row r="20" spans="1:10" x14ac:dyDescent="0.2">
      <c r="A20" s="1">
        <v>45016.432176180555</v>
      </c>
      <c r="B20">
        <v>40.028700000000001</v>
      </c>
      <c r="C20" s="1">
        <v>45016.432176180555</v>
      </c>
      <c r="D20">
        <v>39.625500000000002</v>
      </c>
      <c r="E20" s="1">
        <v>45016.432176180555</v>
      </c>
      <c r="F20">
        <v>37.899099999999997</v>
      </c>
      <c r="G20">
        <f t="shared" si="0"/>
        <v>39827100</v>
      </c>
      <c r="H20">
        <f t="shared" si="2"/>
        <v>17</v>
      </c>
      <c r="I20">
        <f t="shared" si="1"/>
        <v>100</v>
      </c>
      <c r="J20">
        <v>37.899099999999997</v>
      </c>
    </row>
    <row r="21" spans="1:10" x14ac:dyDescent="0.2">
      <c r="A21" s="1">
        <v>45016.432187743056</v>
      </c>
      <c r="B21">
        <v>40.028599999999997</v>
      </c>
      <c r="C21" s="1">
        <v>45016.432187743056</v>
      </c>
      <c r="D21">
        <v>39.625399999999999</v>
      </c>
      <c r="E21" s="1">
        <v>45016.432187743056</v>
      </c>
      <c r="F21">
        <v>37.913899999999998</v>
      </c>
      <c r="G21">
        <f t="shared" si="0"/>
        <v>39827000</v>
      </c>
      <c r="H21">
        <f t="shared" si="2"/>
        <v>18</v>
      </c>
      <c r="I21">
        <f t="shared" si="1"/>
        <v>-100</v>
      </c>
      <c r="J21">
        <v>37.913899999999998</v>
      </c>
    </row>
    <row r="22" spans="1:10" x14ac:dyDescent="0.2">
      <c r="A22" s="1">
        <v>45016.432199317132</v>
      </c>
      <c r="B22">
        <v>40.028700000000001</v>
      </c>
      <c r="C22" s="1">
        <v>45016.432199317132</v>
      </c>
      <c r="D22">
        <v>39.625500000000002</v>
      </c>
      <c r="E22" s="1">
        <v>45016.432199317132</v>
      </c>
      <c r="F22">
        <v>37.905099999999997</v>
      </c>
      <c r="G22">
        <f t="shared" si="0"/>
        <v>39827100</v>
      </c>
      <c r="H22">
        <f t="shared" si="2"/>
        <v>19</v>
      </c>
      <c r="I22">
        <f t="shared" si="1"/>
        <v>100</v>
      </c>
      <c r="J22">
        <v>37.905099999999997</v>
      </c>
    </row>
    <row r="23" spans="1:10" x14ac:dyDescent="0.2">
      <c r="A23" s="1">
        <v>45016.432210891202</v>
      </c>
      <c r="B23">
        <v>40.028599999999997</v>
      </c>
      <c r="C23" s="1">
        <v>45016.432210891202</v>
      </c>
      <c r="D23">
        <v>39.625300000000003</v>
      </c>
      <c r="E23" s="1">
        <v>45016.432210891202</v>
      </c>
      <c r="F23">
        <v>37.892600000000002</v>
      </c>
      <c r="G23">
        <f t="shared" si="0"/>
        <v>39826950</v>
      </c>
      <c r="H23">
        <f t="shared" si="2"/>
        <v>20</v>
      </c>
      <c r="I23">
        <f t="shared" si="1"/>
        <v>-150</v>
      </c>
      <c r="J23">
        <v>37.892600000000002</v>
      </c>
    </row>
    <row r="24" spans="1:10" x14ac:dyDescent="0.2">
      <c r="A24" s="1">
        <v>45016.432222465279</v>
      </c>
      <c r="B24">
        <v>40.028700000000001</v>
      </c>
      <c r="C24" s="1">
        <v>45016.432222465279</v>
      </c>
      <c r="D24">
        <v>39.625500000000002</v>
      </c>
      <c r="E24" s="1">
        <v>45016.432222465279</v>
      </c>
      <c r="F24">
        <v>37.917099999999998</v>
      </c>
      <c r="G24">
        <f t="shared" si="0"/>
        <v>39827100</v>
      </c>
      <c r="H24">
        <f t="shared" si="2"/>
        <v>21</v>
      </c>
      <c r="I24">
        <f t="shared" si="1"/>
        <v>150</v>
      </c>
      <c r="J24">
        <v>37.917099999999998</v>
      </c>
    </row>
    <row r="25" spans="1:10" x14ac:dyDescent="0.2">
      <c r="A25" s="1">
        <v>45016.432234039348</v>
      </c>
      <c r="B25">
        <v>40.028599999999997</v>
      </c>
      <c r="C25" s="1">
        <v>45016.432234039348</v>
      </c>
      <c r="D25">
        <v>39.625399999999999</v>
      </c>
      <c r="E25" s="1">
        <v>45016.432234039348</v>
      </c>
      <c r="F25">
        <v>37.8889</v>
      </c>
      <c r="G25">
        <f t="shared" si="0"/>
        <v>39827000</v>
      </c>
      <c r="H25">
        <f t="shared" si="2"/>
        <v>22</v>
      </c>
      <c r="I25">
        <f t="shared" si="1"/>
        <v>-100</v>
      </c>
      <c r="J25">
        <v>37.8889</v>
      </c>
    </row>
    <row r="26" spans="1:10" x14ac:dyDescent="0.2">
      <c r="A26" s="1">
        <v>45016.432245625001</v>
      </c>
      <c r="B26">
        <v>40.028599999999997</v>
      </c>
      <c r="C26" s="1">
        <v>45016.432245625001</v>
      </c>
      <c r="D26">
        <v>39.625399999999999</v>
      </c>
      <c r="E26" s="1">
        <v>45016.432245625001</v>
      </c>
      <c r="F26">
        <v>37.9148</v>
      </c>
      <c r="G26">
        <f t="shared" si="0"/>
        <v>39827000</v>
      </c>
      <c r="H26">
        <f t="shared" si="2"/>
        <v>23</v>
      </c>
      <c r="I26">
        <f t="shared" si="1"/>
        <v>0</v>
      </c>
      <c r="J26">
        <v>37.9148</v>
      </c>
    </row>
    <row r="27" spans="1:10" x14ac:dyDescent="0.2">
      <c r="A27" s="1">
        <v>45016.432257187502</v>
      </c>
      <c r="B27">
        <v>40.028700000000001</v>
      </c>
      <c r="C27" s="1">
        <v>45016.432257187502</v>
      </c>
      <c r="D27">
        <v>39.625500000000002</v>
      </c>
      <c r="E27" s="1">
        <v>45016.432257187502</v>
      </c>
      <c r="F27">
        <v>37.889600000000002</v>
      </c>
      <c r="G27">
        <f t="shared" si="0"/>
        <v>39827100</v>
      </c>
      <c r="H27">
        <f t="shared" si="2"/>
        <v>24</v>
      </c>
      <c r="I27">
        <f t="shared" si="1"/>
        <v>100</v>
      </c>
      <c r="J27">
        <v>37.889600000000002</v>
      </c>
    </row>
    <row r="28" spans="1:10" x14ac:dyDescent="0.2">
      <c r="A28" s="1">
        <v>45016.432268773147</v>
      </c>
      <c r="B28">
        <v>40.028599999999997</v>
      </c>
      <c r="C28" s="1">
        <v>45016.432268773147</v>
      </c>
      <c r="D28">
        <v>39.625399999999999</v>
      </c>
      <c r="E28" s="1">
        <v>45016.432268773147</v>
      </c>
      <c r="F28">
        <v>37.906199999999998</v>
      </c>
      <c r="G28">
        <f t="shared" ref="G28:G91" si="3">AVERAGE(B28,D28)*1000000</f>
        <v>39827000</v>
      </c>
      <c r="H28">
        <f t="shared" si="2"/>
        <v>25</v>
      </c>
      <c r="I28">
        <f t="shared" si="1"/>
        <v>-100</v>
      </c>
      <c r="J28">
        <v>37.906199999999998</v>
      </c>
    </row>
    <row r="29" spans="1:10" x14ac:dyDescent="0.2">
      <c r="A29" s="1">
        <v>45016.432280347224</v>
      </c>
      <c r="B29">
        <v>40.028700000000001</v>
      </c>
      <c r="C29" s="1">
        <v>45016.432280347224</v>
      </c>
      <c r="D29">
        <v>39.625500000000002</v>
      </c>
      <c r="E29" s="1">
        <v>45016.432280347224</v>
      </c>
      <c r="F29">
        <v>37.894100000000002</v>
      </c>
      <c r="G29">
        <f t="shared" si="3"/>
        <v>39827100</v>
      </c>
      <c r="H29">
        <f t="shared" ref="H29:H92" si="4">H28+1</f>
        <v>26</v>
      </c>
      <c r="I29">
        <f t="shared" ref="I29:I92" si="5">G29-G28</f>
        <v>100</v>
      </c>
      <c r="J29">
        <v>37.894100000000002</v>
      </c>
    </row>
    <row r="30" spans="1:10" x14ac:dyDescent="0.2">
      <c r="A30" s="1">
        <v>45016.432292152778</v>
      </c>
      <c r="B30">
        <v>40.028599999999997</v>
      </c>
      <c r="C30" s="1">
        <v>45016.432292129626</v>
      </c>
      <c r="D30">
        <v>39.625399999999999</v>
      </c>
      <c r="E30" s="1">
        <v>45016.432292152778</v>
      </c>
      <c r="F30">
        <v>37.896700000000003</v>
      </c>
      <c r="G30">
        <f t="shared" si="3"/>
        <v>39827000</v>
      </c>
      <c r="H30">
        <f t="shared" si="4"/>
        <v>27</v>
      </c>
      <c r="I30">
        <f t="shared" si="5"/>
        <v>-100</v>
      </c>
      <c r="J30">
        <v>37.896700000000003</v>
      </c>
    </row>
    <row r="31" spans="1:10" x14ac:dyDescent="0.2">
      <c r="A31" s="1">
        <v>45016.432303483794</v>
      </c>
      <c r="B31">
        <v>40.028700000000001</v>
      </c>
      <c r="C31" s="1">
        <v>45016.432303483794</v>
      </c>
      <c r="D31">
        <v>39.625500000000002</v>
      </c>
      <c r="E31" s="1">
        <v>45016.432303483794</v>
      </c>
      <c r="F31">
        <v>37.900199999999998</v>
      </c>
      <c r="G31">
        <f t="shared" si="3"/>
        <v>39827100</v>
      </c>
      <c r="H31">
        <f t="shared" si="4"/>
        <v>28</v>
      </c>
      <c r="I31">
        <f t="shared" si="5"/>
        <v>100</v>
      </c>
      <c r="J31">
        <v>37.900199999999998</v>
      </c>
    </row>
    <row r="32" spans="1:10" x14ac:dyDescent="0.2">
      <c r="A32" s="1">
        <v>45016.432315057871</v>
      </c>
      <c r="B32">
        <v>40.028599999999997</v>
      </c>
      <c r="C32" s="1">
        <v>45016.432315057871</v>
      </c>
      <c r="D32">
        <v>39.625399999999999</v>
      </c>
      <c r="E32" s="1">
        <v>45016.432315057871</v>
      </c>
      <c r="F32">
        <v>37.890900000000002</v>
      </c>
      <c r="G32">
        <f t="shared" si="3"/>
        <v>39827000</v>
      </c>
      <c r="H32">
        <f t="shared" si="4"/>
        <v>29</v>
      </c>
      <c r="I32">
        <f t="shared" si="5"/>
        <v>-100</v>
      </c>
      <c r="J32">
        <v>37.890900000000002</v>
      </c>
    </row>
    <row r="33" spans="1:10" x14ac:dyDescent="0.2">
      <c r="A33" s="1">
        <v>45016.432326631948</v>
      </c>
      <c r="B33">
        <v>40.028700000000001</v>
      </c>
      <c r="C33" s="1">
        <v>45016.432326631948</v>
      </c>
      <c r="D33">
        <v>39.625500000000002</v>
      </c>
      <c r="E33" s="1">
        <v>45016.432326631948</v>
      </c>
      <c r="F33">
        <v>37.907200000000003</v>
      </c>
      <c r="G33">
        <f t="shared" si="3"/>
        <v>39827100</v>
      </c>
      <c r="H33">
        <f t="shared" si="4"/>
        <v>30</v>
      </c>
      <c r="I33">
        <f t="shared" si="5"/>
        <v>100</v>
      </c>
      <c r="J33">
        <v>37.907200000000003</v>
      </c>
    </row>
    <row r="34" spans="1:10" x14ac:dyDescent="0.2">
      <c r="A34" s="1">
        <v>45016.432338206017</v>
      </c>
      <c r="B34">
        <v>40.028599999999997</v>
      </c>
      <c r="C34" s="1">
        <v>45016.432338206017</v>
      </c>
      <c r="D34">
        <v>39.625399999999999</v>
      </c>
      <c r="E34" s="1">
        <v>45016.432338206017</v>
      </c>
      <c r="F34">
        <v>37.883699999999997</v>
      </c>
      <c r="G34">
        <f t="shared" si="3"/>
        <v>39827000</v>
      </c>
      <c r="H34">
        <f t="shared" si="4"/>
        <v>31</v>
      </c>
      <c r="I34">
        <f t="shared" si="5"/>
        <v>-100</v>
      </c>
      <c r="J34">
        <v>37.883699999999997</v>
      </c>
    </row>
    <row r="35" spans="1:10" x14ac:dyDescent="0.2">
      <c r="A35" s="1">
        <v>45016.432349780094</v>
      </c>
      <c r="B35">
        <v>40.028599999999997</v>
      </c>
      <c r="C35" s="1">
        <v>45016.432349780094</v>
      </c>
      <c r="D35">
        <v>39.625399999999999</v>
      </c>
      <c r="E35" s="1">
        <v>45016.432349780094</v>
      </c>
      <c r="F35">
        <v>37.907400000000003</v>
      </c>
      <c r="G35">
        <f t="shared" si="3"/>
        <v>39827000</v>
      </c>
      <c r="H35">
        <f t="shared" si="4"/>
        <v>32</v>
      </c>
      <c r="I35">
        <f t="shared" si="5"/>
        <v>0</v>
      </c>
      <c r="J35">
        <v>37.907400000000003</v>
      </c>
    </row>
    <row r="36" spans="1:10" x14ac:dyDescent="0.2">
      <c r="A36" s="1">
        <v>45016.432361354164</v>
      </c>
      <c r="B36">
        <v>40.028700000000001</v>
      </c>
      <c r="C36" s="1">
        <v>45016.432361354164</v>
      </c>
      <c r="D36">
        <v>39.625500000000002</v>
      </c>
      <c r="E36" s="1">
        <v>45016.432361354164</v>
      </c>
      <c r="F36">
        <v>37.8842</v>
      </c>
      <c r="G36">
        <f t="shared" si="3"/>
        <v>39827100</v>
      </c>
      <c r="H36">
        <f t="shared" si="4"/>
        <v>33</v>
      </c>
      <c r="I36">
        <f t="shared" si="5"/>
        <v>100</v>
      </c>
      <c r="J36">
        <v>37.8842</v>
      </c>
    </row>
    <row r="37" spans="1:10" x14ac:dyDescent="0.2">
      <c r="A37" s="1">
        <v>45016.432372928241</v>
      </c>
      <c r="B37">
        <v>40.028599999999997</v>
      </c>
      <c r="C37" s="1">
        <v>45016.432372928241</v>
      </c>
      <c r="D37">
        <v>39.625399999999999</v>
      </c>
      <c r="E37" s="1">
        <v>45016.432372928241</v>
      </c>
      <c r="F37">
        <v>37.898600000000002</v>
      </c>
      <c r="G37">
        <f t="shared" si="3"/>
        <v>39827000</v>
      </c>
      <c r="H37">
        <f t="shared" si="4"/>
        <v>34</v>
      </c>
      <c r="I37">
        <f t="shared" si="5"/>
        <v>-100</v>
      </c>
      <c r="J37">
        <v>37.898600000000002</v>
      </c>
    </row>
    <row r="38" spans="1:10" x14ac:dyDescent="0.2">
      <c r="A38" s="1">
        <v>45016.432384502317</v>
      </c>
      <c r="B38">
        <v>40.028700000000001</v>
      </c>
      <c r="C38" s="1">
        <v>45016.432384502317</v>
      </c>
      <c r="D38">
        <v>39.625500000000002</v>
      </c>
      <c r="E38" s="1">
        <v>45016.432384502317</v>
      </c>
      <c r="F38">
        <v>37.893700000000003</v>
      </c>
      <c r="G38">
        <f t="shared" si="3"/>
        <v>39827100</v>
      </c>
      <c r="H38">
        <f t="shared" si="4"/>
        <v>35</v>
      </c>
      <c r="I38">
        <f t="shared" si="5"/>
        <v>100</v>
      </c>
      <c r="J38">
        <v>37.893700000000003</v>
      </c>
    </row>
    <row r="39" spans="1:10" x14ac:dyDescent="0.2">
      <c r="A39" s="1">
        <v>45016.432396076387</v>
      </c>
      <c r="B39">
        <v>40.028599999999997</v>
      </c>
      <c r="C39" s="1">
        <v>45016.432396076387</v>
      </c>
      <c r="D39">
        <v>39.625399999999999</v>
      </c>
      <c r="E39" s="1">
        <v>45016.432396076387</v>
      </c>
      <c r="F39">
        <v>37.890700000000002</v>
      </c>
      <c r="G39">
        <f t="shared" si="3"/>
        <v>39827000</v>
      </c>
      <c r="H39">
        <f t="shared" si="4"/>
        <v>36</v>
      </c>
      <c r="I39">
        <f t="shared" si="5"/>
        <v>-100</v>
      </c>
      <c r="J39">
        <v>37.890700000000002</v>
      </c>
    </row>
    <row r="40" spans="1:10" x14ac:dyDescent="0.2">
      <c r="A40" s="1">
        <v>45016.432407650464</v>
      </c>
      <c r="B40">
        <v>40.028700000000001</v>
      </c>
      <c r="C40" s="1">
        <v>45016.432407650464</v>
      </c>
      <c r="D40">
        <v>39.625500000000002</v>
      </c>
      <c r="E40" s="1">
        <v>45016.432407650464</v>
      </c>
      <c r="F40">
        <v>37.898000000000003</v>
      </c>
      <c r="G40">
        <f t="shared" si="3"/>
        <v>39827100</v>
      </c>
      <c r="H40">
        <f t="shared" si="4"/>
        <v>37</v>
      </c>
      <c r="I40">
        <f t="shared" si="5"/>
        <v>100</v>
      </c>
      <c r="J40">
        <v>37.898000000000003</v>
      </c>
    </row>
    <row r="41" spans="1:10" x14ac:dyDescent="0.2">
      <c r="A41" s="1">
        <v>45016.432419236109</v>
      </c>
      <c r="B41">
        <v>40.028599999999997</v>
      </c>
      <c r="C41" s="1">
        <v>45016.432419236109</v>
      </c>
      <c r="D41">
        <v>39.625399999999999</v>
      </c>
      <c r="E41" s="1">
        <v>45016.432419236109</v>
      </c>
      <c r="F41">
        <v>37.881500000000003</v>
      </c>
      <c r="G41">
        <f t="shared" si="3"/>
        <v>39827000</v>
      </c>
      <c r="H41">
        <f t="shared" si="4"/>
        <v>38</v>
      </c>
      <c r="I41">
        <f t="shared" si="5"/>
        <v>-100</v>
      </c>
      <c r="J41">
        <v>37.881500000000003</v>
      </c>
    </row>
    <row r="42" spans="1:10" x14ac:dyDescent="0.2">
      <c r="A42" s="1">
        <v>45016.432430810186</v>
      </c>
      <c r="B42">
        <v>40.028599999999997</v>
      </c>
      <c r="C42" s="1">
        <v>45016.432430810186</v>
      </c>
      <c r="D42">
        <v>39.625399999999999</v>
      </c>
      <c r="E42" s="1">
        <v>45016.432430810186</v>
      </c>
      <c r="F42">
        <v>37.902700000000003</v>
      </c>
      <c r="G42">
        <f t="shared" si="3"/>
        <v>39827000</v>
      </c>
      <c r="H42">
        <f t="shared" si="4"/>
        <v>39</v>
      </c>
      <c r="I42">
        <f t="shared" si="5"/>
        <v>0</v>
      </c>
      <c r="J42">
        <v>37.902700000000003</v>
      </c>
    </row>
    <row r="43" spans="1:10" x14ac:dyDescent="0.2">
      <c r="A43" s="1">
        <v>45016.432442372687</v>
      </c>
      <c r="B43">
        <v>40.028599999999997</v>
      </c>
      <c r="C43" s="1">
        <v>45016.432442372687</v>
      </c>
      <c r="D43">
        <v>39.625399999999999</v>
      </c>
      <c r="E43" s="1">
        <v>45016.432442372687</v>
      </c>
      <c r="F43">
        <v>37.882399999999997</v>
      </c>
      <c r="G43">
        <f t="shared" si="3"/>
        <v>39827000</v>
      </c>
      <c r="H43">
        <f t="shared" si="4"/>
        <v>40</v>
      </c>
      <c r="I43">
        <f t="shared" si="5"/>
        <v>0</v>
      </c>
      <c r="J43">
        <v>37.882399999999997</v>
      </c>
    </row>
    <row r="44" spans="1:10" x14ac:dyDescent="0.2">
      <c r="A44" s="1">
        <v>45016.432453946756</v>
      </c>
      <c r="B44">
        <v>40.028599999999997</v>
      </c>
      <c r="C44" s="1">
        <v>45016.432453946756</v>
      </c>
      <c r="D44">
        <v>39.625399999999999</v>
      </c>
      <c r="E44" s="1">
        <v>45016.432453946756</v>
      </c>
      <c r="F44">
        <v>37.9011</v>
      </c>
      <c r="G44">
        <f t="shared" si="3"/>
        <v>39827000</v>
      </c>
      <c r="H44">
        <f t="shared" si="4"/>
        <v>41</v>
      </c>
      <c r="I44">
        <f t="shared" si="5"/>
        <v>0</v>
      </c>
      <c r="J44">
        <v>37.9011</v>
      </c>
    </row>
    <row r="45" spans="1:10" x14ac:dyDescent="0.2">
      <c r="A45" s="1">
        <v>45016.432465520833</v>
      </c>
      <c r="B45">
        <v>40.028700000000001</v>
      </c>
      <c r="C45" s="1">
        <v>45016.432465520833</v>
      </c>
      <c r="D45">
        <v>39.625399999999999</v>
      </c>
      <c r="E45" s="1">
        <v>45016.432465520833</v>
      </c>
      <c r="F45">
        <v>37.8797</v>
      </c>
      <c r="G45">
        <f t="shared" si="3"/>
        <v>39827050</v>
      </c>
      <c r="H45">
        <f t="shared" si="4"/>
        <v>42</v>
      </c>
      <c r="I45">
        <f t="shared" si="5"/>
        <v>50</v>
      </c>
      <c r="J45">
        <v>37.8797</v>
      </c>
    </row>
    <row r="46" spans="1:10" x14ac:dyDescent="0.2">
      <c r="A46" s="1">
        <v>45016.43247709491</v>
      </c>
      <c r="B46">
        <v>40.028599999999997</v>
      </c>
      <c r="C46" s="1">
        <v>45016.43247709491</v>
      </c>
      <c r="D46">
        <v>39.625399999999999</v>
      </c>
      <c r="E46" s="1">
        <v>45016.43247709491</v>
      </c>
      <c r="F46">
        <v>37.897199999999998</v>
      </c>
      <c r="G46">
        <f t="shared" si="3"/>
        <v>39827000</v>
      </c>
      <c r="H46">
        <f t="shared" si="4"/>
        <v>43</v>
      </c>
      <c r="I46">
        <f t="shared" si="5"/>
        <v>-50</v>
      </c>
      <c r="J46">
        <v>37.897199999999998</v>
      </c>
    </row>
    <row r="47" spans="1:10" x14ac:dyDescent="0.2">
      <c r="A47" s="1">
        <v>45016.432488668979</v>
      </c>
      <c r="B47">
        <v>40.028700000000001</v>
      </c>
      <c r="C47" s="1">
        <v>45016.432488668979</v>
      </c>
      <c r="D47">
        <v>39.625500000000002</v>
      </c>
      <c r="E47" s="1">
        <v>45016.432488668979</v>
      </c>
      <c r="F47">
        <v>37.884700000000002</v>
      </c>
      <c r="G47">
        <f t="shared" si="3"/>
        <v>39827100</v>
      </c>
      <c r="H47">
        <f t="shared" si="4"/>
        <v>44</v>
      </c>
      <c r="I47">
        <f t="shared" si="5"/>
        <v>100</v>
      </c>
      <c r="J47">
        <v>37.884700000000002</v>
      </c>
    </row>
    <row r="48" spans="1:10" x14ac:dyDescent="0.2">
      <c r="A48" s="1">
        <v>45016.432500243056</v>
      </c>
      <c r="B48">
        <v>40.028599999999997</v>
      </c>
      <c r="C48" s="1">
        <v>45016.432500243056</v>
      </c>
      <c r="D48">
        <v>39.625399999999999</v>
      </c>
      <c r="E48" s="1">
        <v>45016.432500243056</v>
      </c>
      <c r="F48">
        <v>37.8874</v>
      </c>
      <c r="G48">
        <f t="shared" si="3"/>
        <v>39827000</v>
      </c>
      <c r="H48">
        <f t="shared" si="4"/>
        <v>45</v>
      </c>
      <c r="I48">
        <f t="shared" si="5"/>
        <v>-100</v>
      </c>
      <c r="J48">
        <v>37.8874</v>
      </c>
    </row>
    <row r="49" spans="1:10" x14ac:dyDescent="0.2">
      <c r="A49" s="1">
        <v>45016.432511828702</v>
      </c>
      <c r="B49">
        <v>40.028700000000001</v>
      </c>
      <c r="C49" s="1">
        <v>45016.432511828702</v>
      </c>
      <c r="D49">
        <v>39.625500000000002</v>
      </c>
      <c r="E49" s="1">
        <v>45016.432511828702</v>
      </c>
      <c r="F49">
        <v>37.889000000000003</v>
      </c>
      <c r="G49">
        <f t="shared" si="3"/>
        <v>39827100</v>
      </c>
      <c r="H49">
        <f t="shared" si="4"/>
        <v>46</v>
      </c>
      <c r="I49">
        <f t="shared" si="5"/>
        <v>100</v>
      </c>
      <c r="J49">
        <v>37.889000000000003</v>
      </c>
    </row>
    <row r="50" spans="1:10" x14ac:dyDescent="0.2">
      <c r="A50" s="1">
        <v>45016.432523391202</v>
      </c>
      <c r="B50">
        <v>40.028599999999997</v>
      </c>
      <c r="C50" s="1">
        <v>45016.432523391202</v>
      </c>
      <c r="D50">
        <v>39.625399999999999</v>
      </c>
      <c r="E50" s="1">
        <v>45016.432523391202</v>
      </c>
      <c r="F50">
        <v>37.882199999999997</v>
      </c>
      <c r="G50">
        <f t="shared" si="3"/>
        <v>39827000</v>
      </c>
      <c r="H50">
        <f t="shared" si="4"/>
        <v>47</v>
      </c>
      <c r="I50">
        <f t="shared" si="5"/>
        <v>-100</v>
      </c>
      <c r="J50">
        <v>37.882199999999997</v>
      </c>
    </row>
    <row r="51" spans="1:10" x14ac:dyDescent="0.2">
      <c r="A51" s="1">
        <v>45016.432534965279</v>
      </c>
      <c r="B51">
        <v>40.028700000000001</v>
      </c>
      <c r="C51" s="1">
        <v>45016.432534965279</v>
      </c>
      <c r="D51">
        <v>39.625500000000002</v>
      </c>
      <c r="E51" s="1">
        <v>45016.432534965279</v>
      </c>
      <c r="F51">
        <v>37.892899999999997</v>
      </c>
      <c r="G51">
        <f t="shared" si="3"/>
        <v>39827100</v>
      </c>
      <c r="H51">
        <f t="shared" si="4"/>
        <v>48</v>
      </c>
      <c r="I51">
        <f t="shared" si="5"/>
        <v>100</v>
      </c>
      <c r="J51">
        <v>37.892899999999997</v>
      </c>
    </row>
    <row r="52" spans="1:10" x14ac:dyDescent="0.2">
      <c r="A52" s="1">
        <v>45016.432546539349</v>
      </c>
      <c r="B52">
        <v>40.028599999999997</v>
      </c>
      <c r="C52" s="1">
        <v>45016.432546539349</v>
      </c>
      <c r="D52">
        <v>39.625399999999999</v>
      </c>
      <c r="E52" s="1">
        <v>45016.432546539349</v>
      </c>
      <c r="F52">
        <v>37.876399999999997</v>
      </c>
      <c r="G52">
        <f t="shared" si="3"/>
        <v>39827000</v>
      </c>
      <c r="H52">
        <f t="shared" si="4"/>
        <v>49</v>
      </c>
      <c r="I52">
        <f t="shared" si="5"/>
        <v>-100</v>
      </c>
      <c r="J52">
        <v>37.876399999999997</v>
      </c>
    </row>
    <row r="53" spans="1:10" x14ac:dyDescent="0.2">
      <c r="A53" s="1">
        <v>45016.432558113425</v>
      </c>
      <c r="B53">
        <v>40.028599999999997</v>
      </c>
      <c r="C53" s="1">
        <v>45016.432558113425</v>
      </c>
      <c r="D53">
        <v>39.625399999999999</v>
      </c>
      <c r="E53" s="1">
        <v>45016.432558113425</v>
      </c>
      <c r="F53">
        <v>37.896500000000003</v>
      </c>
      <c r="G53">
        <f t="shared" si="3"/>
        <v>39827000</v>
      </c>
      <c r="H53">
        <f t="shared" si="4"/>
        <v>50</v>
      </c>
      <c r="I53">
        <f t="shared" si="5"/>
        <v>0</v>
      </c>
      <c r="J53">
        <v>37.896500000000003</v>
      </c>
    </row>
    <row r="54" spans="1:10" x14ac:dyDescent="0.2">
      <c r="A54" s="1">
        <v>45016.432569687502</v>
      </c>
      <c r="B54">
        <v>40.028599999999997</v>
      </c>
      <c r="C54" s="1">
        <v>45016.432569687502</v>
      </c>
      <c r="D54">
        <v>39.625399999999999</v>
      </c>
      <c r="E54" s="1">
        <v>45016.432569687502</v>
      </c>
      <c r="F54">
        <v>37.8748</v>
      </c>
      <c r="G54">
        <f t="shared" si="3"/>
        <v>39827000</v>
      </c>
      <c r="H54">
        <f t="shared" si="4"/>
        <v>51</v>
      </c>
      <c r="I54">
        <f t="shared" si="5"/>
        <v>0</v>
      </c>
      <c r="J54">
        <v>37.8748</v>
      </c>
    </row>
    <row r="55" spans="1:10" x14ac:dyDescent="0.2">
      <c r="A55" s="1">
        <v>45016.432581273148</v>
      </c>
      <c r="B55">
        <v>40.028599999999997</v>
      </c>
      <c r="C55" s="1">
        <v>45016.432581273148</v>
      </c>
      <c r="D55">
        <v>39.625399999999999</v>
      </c>
      <c r="E55" s="1">
        <v>45016.432581273148</v>
      </c>
      <c r="F55">
        <v>37.894799999999996</v>
      </c>
      <c r="G55">
        <f t="shared" si="3"/>
        <v>39827000</v>
      </c>
      <c r="H55">
        <f t="shared" si="4"/>
        <v>52</v>
      </c>
      <c r="I55">
        <f t="shared" si="5"/>
        <v>0</v>
      </c>
      <c r="J55">
        <v>37.894799999999996</v>
      </c>
    </row>
    <row r="56" spans="1:10" x14ac:dyDescent="0.2">
      <c r="A56" s="1">
        <v>45016.432592847224</v>
      </c>
      <c r="B56">
        <v>40.028700000000001</v>
      </c>
      <c r="C56" s="1">
        <v>45016.432592847224</v>
      </c>
      <c r="D56">
        <v>39.625500000000002</v>
      </c>
      <c r="E56" s="1">
        <v>45016.432592847224</v>
      </c>
      <c r="F56">
        <v>37.877099999999999</v>
      </c>
      <c r="G56">
        <f t="shared" si="3"/>
        <v>39827100</v>
      </c>
      <c r="H56">
        <f t="shared" si="4"/>
        <v>53</v>
      </c>
      <c r="I56">
        <f t="shared" si="5"/>
        <v>100</v>
      </c>
      <c r="J56">
        <v>37.877099999999999</v>
      </c>
    </row>
    <row r="57" spans="1:10" x14ac:dyDescent="0.2">
      <c r="A57" s="1">
        <v>45016.432604409725</v>
      </c>
      <c r="B57">
        <v>40.028599999999997</v>
      </c>
      <c r="C57" s="1">
        <v>45016.432604409725</v>
      </c>
      <c r="D57">
        <v>39.625399999999999</v>
      </c>
      <c r="E57" s="1">
        <v>45016.432604409725</v>
      </c>
      <c r="F57">
        <v>37.890099999999997</v>
      </c>
      <c r="G57">
        <f t="shared" si="3"/>
        <v>39827000</v>
      </c>
      <c r="H57">
        <f t="shared" si="4"/>
        <v>54</v>
      </c>
      <c r="I57">
        <f t="shared" si="5"/>
        <v>-100</v>
      </c>
      <c r="J57">
        <v>37.890099999999997</v>
      </c>
    </row>
    <row r="58" spans="1:10" x14ac:dyDescent="0.2">
      <c r="A58" s="1">
        <v>45016.432615983795</v>
      </c>
      <c r="B58">
        <v>40.028700000000001</v>
      </c>
      <c r="C58" s="1">
        <v>45016.432615983795</v>
      </c>
      <c r="D58">
        <v>39.625500000000002</v>
      </c>
      <c r="E58" s="1">
        <v>45016.432615983795</v>
      </c>
      <c r="F58">
        <v>37.879399999999997</v>
      </c>
      <c r="G58">
        <f t="shared" si="3"/>
        <v>39827100</v>
      </c>
      <c r="H58">
        <f t="shared" si="4"/>
        <v>55</v>
      </c>
      <c r="I58">
        <f t="shared" si="5"/>
        <v>100</v>
      </c>
      <c r="J58">
        <v>37.879399999999997</v>
      </c>
    </row>
    <row r="59" spans="1:10" x14ac:dyDescent="0.2">
      <c r="A59" s="1">
        <v>45016.432627557871</v>
      </c>
      <c r="B59">
        <v>40.028599999999997</v>
      </c>
      <c r="C59" s="1">
        <v>45016.432627557871</v>
      </c>
      <c r="D59">
        <v>39.625399999999999</v>
      </c>
      <c r="E59" s="1">
        <v>45016.432627557871</v>
      </c>
      <c r="F59">
        <v>37.887900000000002</v>
      </c>
      <c r="G59">
        <f t="shared" si="3"/>
        <v>39827000</v>
      </c>
      <c r="H59">
        <f t="shared" si="4"/>
        <v>56</v>
      </c>
      <c r="I59">
        <f t="shared" si="5"/>
        <v>-100</v>
      </c>
      <c r="J59">
        <v>37.887900000000002</v>
      </c>
    </row>
    <row r="60" spans="1:10" x14ac:dyDescent="0.2">
      <c r="A60" s="1">
        <v>45016.432639131941</v>
      </c>
      <c r="B60">
        <v>40.028700000000001</v>
      </c>
      <c r="C60" s="1">
        <v>45016.432639131941</v>
      </c>
      <c r="D60">
        <v>39.625500000000002</v>
      </c>
      <c r="E60" s="1">
        <v>45016.432639131941</v>
      </c>
      <c r="F60">
        <v>37.8795</v>
      </c>
      <c r="G60">
        <f t="shared" si="3"/>
        <v>39827100</v>
      </c>
      <c r="H60">
        <f t="shared" si="4"/>
        <v>57</v>
      </c>
      <c r="I60">
        <f t="shared" si="5"/>
        <v>100</v>
      </c>
      <c r="J60">
        <v>37.8795</v>
      </c>
    </row>
    <row r="61" spans="1:10" x14ac:dyDescent="0.2">
      <c r="A61" s="1">
        <v>45016.432650706018</v>
      </c>
      <c r="B61">
        <v>40.028500000000001</v>
      </c>
      <c r="C61" s="1">
        <v>45016.432650706018</v>
      </c>
      <c r="D61">
        <v>39.625399999999999</v>
      </c>
      <c r="E61" s="1">
        <v>45016.432650706018</v>
      </c>
      <c r="F61">
        <v>37.883099999999999</v>
      </c>
      <c r="G61">
        <f t="shared" si="3"/>
        <v>39826950</v>
      </c>
      <c r="H61">
        <f t="shared" si="4"/>
        <v>58</v>
      </c>
      <c r="I61">
        <f t="shared" si="5"/>
        <v>-150</v>
      </c>
      <c r="J61">
        <v>37.883099999999999</v>
      </c>
    </row>
    <row r="62" spans="1:10" x14ac:dyDescent="0.2">
      <c r="A62" s="1">
        <v>45016.432662291663</v>
      </c>
      <c r="B62">
        <v>40.028700000000001</v>
      </c>
      <c r="C62" s="1">
        <v>45016.432662291663</v>
      </c>
      <c r="D62">
        <v>39.625500000000002</v>
      </c>
      <c r="E62" s="1">
        <v>45016.432662291663</v>
      </c>
      <c r="F62">
        <v>37.885199999999998</v>
      </c>
      <c r="G62">
        <f t="shared" si="3"/>
        <v>39827100</v>
      </c>
      <c r="H62">
        <f t="shared" si="4"/>
        <v>59</v>
      </c>
      <c r="I62">
        <f t="shared" si="5"/>
        <v>150</v>
      </c>
      <c r="J62">
        <v>37.885199999999998</v>
      </c>
    </row>
    <row r="63" spans="1:10" x14ac:dyDescent="0.2">
      <c r="A63" s="1">
        <v>45016.432673854164</v>
      </c>
      <c r="B63">
        <v>40.028599999999997</v>
      </c>
      <c r="C63" s="1">
        <v>45016.432673854164</v>
      </c>
      <c r="D63">
        <v>39.625399999999999</v>
      </c>
      <c r="E63" s="1">
        <v>45016.432673854164</v>
      </c>
      <c r="F63">
        <v>37.873899999999999</v>
      </c>
      <c r="G63">
        <f t="shared" si="3"/>
        <v>39827000</v>
      </c>
      <c r="H63">
        <f t="shared" si="4"/>
        <v>60</v>
      </c>
      <c r="I63">
        <f t="shared" si="5"/>
        <v>-100</v>
      </c>
      <c r="J63">
        <v>37.873899999999999</v>
      </c>
    </row>
    <row r="64" spans="1:10" x14ac:dyDescent="0.2">
      <c r="A64" s="1">
        <v>45016.432685428241</v>
      </c>
      <c r="B64">
        <v>40.028700000000001</v>
      </c>
      <c r="C64" s="1">
        <v>45016.432685428241</v>
      </c>
      <c r="D64">
        <v>39.625399999999999</v>
      </c>
      <c r="E64" s="1">
        <v>45016.432685428241</v>
      </c>
      <c r="F64">
        <v>37.890300000000003</v>
      </c>
      <c r="G64">
        <f t="shared" si="3"/>
        <v>39827050</v>
      </c>
      <c r="H64">
        <f t="shared" si="4"/>
        <v>61</v>
      </c>
      <c r="I64">
        <f t="shared" si="5"/>
        <v>50</v>
      </c>
      <c r="J64">
        <v>37.890300000000003</v>
      </c>
    </row>
    <row r="65" spans="1:10" x14ac:dyDescent="0.2">
      <c r="A65" s="1">
        <v>45016.432697002318</v>
      </c>
      <c r="B65">
        <v>40.028599999999997</v>
      </c>
      <c r="C65" s="1">
        <v>45016.432697002318</v>
      </c>
      <c r="D65">
        <v>39.625399999999999</v>
      </c>
      <c r="E65" s="1">
        <v>45016.432697002318</v>
      </c>
      <c r="F65">
        <v>37.869399999999999</v>
      </c>
      <c r="G65">
        <f t="shared" si="3"/>
        <v>39827000</v>
      </c>
      <c r="H65">
        <f t="shared" si="4"/>
        <v>62</v>
      </c>
      <c r="I65">
        <f t="shared" si="5"/>
        <v>-50</v>
      </c>
      <c r="J65">
        <v>37.869399999999999</v>
      </c>
    </row>
    <row r="66" spans="1:10" x14ac:dyDescent="0.2">
      <c r="A66" s="1">
        <v>45016.432708576387</v>
      </c>
      <c r="B66">
        <v>40.028599999999997</v>
      </c>
      <c r="C66" s="1">
        <v>45016.432708576387</v>
      </c>
      <c r="D66">
        <v>39.625399999999999</v>
      </c>
      <c r="E66" s="1">
        <v>45016.432708576387</v>
      </c>
      <c r="F66">
        <v>37.890099999999997</v>
      </c>
      <c r="G66">
        <f t="shared" si="3"/>
        <v>39827000</v>
      </c>
      <c r="H66">
        <f t="shared" si="4"/>
        <v>63</v>
      </c>
      <c r="I66">
        <f t="shared" si="5"/>
        <v>0</v>
      </c>
      <c r="J66">
        <v>37.890099999999997</v>
      </c>
    </row>
    <row r="67" spans="1:10" x14ac:dyDescent="0.2">
      <c r="A67" s="1">
        <v>45016.432720150464</v>
      </c>
      <c r="B67">
        <v>40.028700000000001</v>
      </c>
      <c r="C67" s="1">
        <v>45016.432720150464</v>
      </c>
      <c r="D67">
        <v>39.625500000000002</v>
      </c>
      <c r="E67" s="1">
        <v>45016.432720150464</v>
      </c>
      <c r="F67">
        <v>37.872300000000003</v>
      </c>
      <c r="G67">
        <f t="shared" si="3"/>
        <v>39827100</v>
      </c>
      <c r="H67">
        <f t="shared" si="4"/>
        <v>64</v>
      </c>
      <c r="I67">
        <f t="shared" si="5"/>
        <v>100</v>
      </c>
      <c r="J67">
        <v>37.872300000000003</v>
      </c>
    </row>
    <row r="68" spans="1:10" x14ac:dyDescent="0.2">
      <c r="A68" s="1">
        <v>45016.432731724541</v>
      </c>
      <c r="B68">
        <v>40.028599999999997</v>
      </c>
      <c r="C68" s="1">
        <v>45016.432731724541</v>
      </c>
      <c r="D68">
        <v>39.625399999999999</v>
      </c>
      <c r="E68" s="1">
        <v>45016.432731724541</v>
      </c>
      <c r="F68">
        <v>37.886499999999998</v>
      </c>
      <c r="G68">
        <f t="shared" si="3"/>
        <v>39827000</v>
      </c>
      <c r="H68">
        <f t="shared" si="4"/>
        <v>65</v>
      </c>
      <c r="I68">
        <f t="shared" si="5"/>
        <v>-100</v>
      </c>
      <c r="J68">
        <v>37.886499999999998</v>
      </c>
    </row>
    <row r="69" spans="1:10" x14ac:dyDescent="0.2">
      <c r="A69" s="1">
        <v>45016.43274329861</v>
      </c>
      <c r="B69">
        <v>40.028700000000001</v>
      </c>
      <c r="C69" s="1">
        <v>45016.43274329861</v>
      </c>
      <c r="D69">
        <v>39.625500000000002</v>
      </c>
      <c r="E69" s="1">
        <v>45016.43274329861</v>
      </c>
      <c r="F69">
        <v>37.874099999999999</v>
      </c>
      <c r="G69">
        <f t="shared" si="3"/>
        <v>39827100</v>
      </c>
      <c r="H69">
        <f t="shared" si="4"/>
        <v>66</v>
      </c>
      <c r="I69">
        <f t="shared" si="5"/>
        <v>100</v>
      </c>
      <c r="J69">
        <v>37.874099999999999</v>
      </c>
    </row>
    <row r="70" spans="1:10" x14ac:dyDescent="0.2">
      <c r="A70" s="1">
        <v>45016.432754872687</v>
      </c>
      <c r="B70">
        <v>40.028599999999997</v>
      </c>
      <c r="C70" s="1">
        <v>45016.432754872687</v>
      </c>
      <c r="D70">
        <v>39.625399999999999</v>
      </c>
      <c r="E70" s="1">
        <v>45016.432754872687</v>
      </c>
      <c r="F70">
        <v>37.883299999999998</v>
      </c>
      <c r="G70">
        <f t="shared" si="3"/>
        <v>39827000</v>
      </c>
      <c r="H70">
        <f t="shared" si="4"/>
        <v>67</v>
      </c>
      <c r="I70">
        <f t="shared" si="5"/>
        <v>-100</v>
      </c>
      <c r="J70">
        <v>37.883299999999998</v>
      </c>
    </row>
    <row r="71" spans="1:10" x14ac:dyDescent="0.2">
      <c r="A71" s="1">
        <v>45016.432766446756</v>
      </c>
      <c r="B71">
        <v>40.028700000000001</v>
      </c>
      <c r="C71" s="1">
        <v>45016.432766446756</v>
      </c>
      <c r="D71">
        <v>39.625500000000002</v>
      </c>
      <c r="E71" s="1">
        <v>45016.432766446756</v>
      </c>
      <c r="F71">
        <v>37.879100000000001</v>
      </c>
      <c r="G71">
        <f t="shared" si="3"/>
        <v>39827100</v>
      </c>
      <c r="H71">
        <f t="shared" si="4"/>
        <v>68</v>
      </c>
      <c r="I71">
        <f t="shared" si="5"/>
        <v>100</v>
      </c>
      <c r="J71">
        <v>37.879100000000001</v>
      </c>
    </row>
    <row r="72" spans="1:10" x14ac:dyDescent="0.2">
      <c r="A72" s="1">
        <v>45016.432778020833</v>
      </c>
      <c r="B72">
        <v>40.028500000000001</v>
      </c>
      <c r="C72" s="1">
        <v>45016.432778020833</v>
      </c>
      <c r="D72">
        <v>39.625399999999999</v>
      </c>
      <c r="E72" s="1">
        <v>45016.432778020833</v>
      </c>
      <c r="F72">
        <v>37.877499999999998</v>
      </c>
      <c r="G72">
        <f t="shared" si="3"/>
        <v>39826950</v>
      </c>
      <c r="H72">
        <f t="shared" si="4"/>
        <v>69</v>
      </c>
      <c r="I72">
        <f t="shared" si="5"/>
        <v>-150</v>
      </c>
      <c r="J72">
        <v>37.877499999999998</v>
      </c>
    </row>
    <row r="73" spans="1:10" x14ac:dyDescent="0.2">
      <c r="A73" s="1">
        <v>45016.43278959491</v>
      </c>
      <c r="B73">
        <v>40.028700000000001</v>
      </c>
      <c r="C73" s="1">
        <v>45016.43278959491</v>
      </c>
      <c r="D73">
        <v>39.625500000000002</v>
      </c>
      <c r="E73" s="1">
        <v>45016.43278959491</v>
      </c>
      <c r="F73">
        <v>37.883000000000003</v>
      </c>
      <c r="G73">
        <f t="shared" si="3"/>
        <v>39827100</v>
      </c>
      <c r="H73">
        <f t="shared" si="4"/>
        <v>70</v>
      </c>
      <c r="I73">
        <f t="shared" si="5"/>
        <v>150</v>
      </c>
      <c r="J73">
        <v>37.883000000000003</v>
      </c>
    </row>
    <row r="74" spans="1:10" x14ac:dyDescent="0.2">
      <c r="A74" s="1">
        <v>45016.432801168979</v>
      </c>
      <c r="B74">
        <v>40.028599999999997</v>
      </c>
      <c r="C74" s="1">
        <v>45016.432801168979</v>
      </c>
      <c r="D74">
        <v>39.625399999999999</v>
      </c>
      <c r="E74" s="1">
        <v>45016.432801168979</v>
      </c>
      <c r="F74">
        <v>37.869900000000001</v>
      </c>
      <c r="G74">
        <f t="shared" si="3"/>
        <v>39827000</v>
      </c>
      <c r="H74">
        <f t="shared" si="4"/>
        <v>71</v>
      </c>
      <c r="I74">
        <f t="shared" si="5"/>
        <v>-100</v>
      </c>
      <c r="J74">
        <v>37.869900000000001</v>
      </c>
    </row>
    <row r="75" spans="1:10" x14ac:dyDescent="0.2">
      <c r="A75" s="1">
        <v>45016.432812743056</v>
      </c>
      <c r="B75">
        <v>40.028599999999997</v>
      </c>
      <c r="C75" s="1">
        <v>45016.432812743056</v>
      </c>
      <c r="D75">
        <v>39.625399999999999</v>
      </c>
      <c r="E75" s="1">
        <v>45016.432812743056</v>
      </c>
      <c r="F75">
        <v>37.887599999999999</v>
      </c>
      <c r="G75">
        <f t="shared" si="3"/>
        <v>39827000</v>
      </c>
      <c r="H75">
        <f t="shared" si="4"/>
        <v>72</v>
      </c>
      <c r="I75">
        <f t="shared" si="5"/>
        <v>0</v>
      </c>
      <c r="J75">
        <v>37.887599999999999</v>
      </c>
    </row>
    <row r="76" spans="1:10" x14ac:dyDescent="0.2">
      <c r="A76" s="1">
        <v>45016.432824317133</v>
      </c>
      <c r="B76">
        <v>40.028599999999997</v>
      </c>
      <c r="C76" s="1">
        <v>45016.432824317133</v>
      </c>
      <c r="D76">
        <v>39.625399999999999</v>
      </c>
      <c r="E76" s="1">
        <v>45016.432824317133</v>
      </c>
      <c r="F76">
        <v>37.866100000000003</v>
      </c>
      <c r="G76">
        <f t="shared" si="3"/>
        <v>39827000</v>
      </c>
      <c r="H76">
        <f t="shared" si="4"/>
        <v>73</v>
      </c>
      <c r="I76">
        <f t="shared" si="5"/>
        <v>0</v>
      </c>
      <c r="J76">
        <v>37.866100000000003</v>
      </c>
    </row>
    <row r="77" spans="1:10" x14ac:dyDescent="0.2">
      <c r="A77" s="1">
        <v>45016.432835891203</v>
      </c>
      <c r="B77">
        <v>40.028599999999997</v>
      </c>
      <c r="C77" s="1">
        <v>45016.432835891203</v>
      </c>
      <c r="D77">
        <v>39.625399999999999</v>
      </c>
      <c r="E77" s="1">
        <v>45016.432835891203</v>
      </c>
      <c r="F77">
        <v>37.886200000000002</v>
      </c>
      <c r="G77">
        <f t="shared" si="3"/>
        <v>39827000</v>
      </c>
      <c r="H77">
        <f t="shared" si="4"/>
        <v>74</v>
      </c>
      <c r="I77">
        <f t="shared" si="5"/>
        <v>0</v>
      </c>
      <c r="J77">
        <v>37.886200000000002</v>
      </c>
    </row>
    <row r="78" spans="1:10" x14ac:dyDescent="0.2">
      <c r="A78" s="1">
        <v>45016.432847465279</v>
      </c>
      <c r="B78">
        <v>40.028700000000001</v>
      </c>
      <c r="C78" s="1">
        <v>45016.432847465279</v>
      </c>
      <c r="D78">
        <v>39.625500000000002</v>
      </c>
      <c r="E78" s="1">
        <v>45016.432847465279</v>
      </c>
      <c r="F78">
        <v>37.872300000000003</v>
      </c>
      <c r="G78">
        <f t="shared" si="3"/>
        <v>39827100</v>
      </c>
      <c r="H78">
        <f t="shared" si="4"/>
        <v>75</v>
      </c>
      <c r="I78">
        <f t="shared" si="5"/>
        <v>100</v>
      </c>
      <c r="J78">
        <v>37.872300000000003</v>
      </c>
    </row>
    <row r="79" spans="1:10" x14ac:dyDescent="0.2">
      <c r="A79" s="1">
        <v>45016.432859050925</v>
      </c>
      <c r="B79">
        <v>40.028500000000001</v>
      </c>
      <c r="C79" s="1">
        <v>45016.432859050925</v>
      </c>
      <c r="D79">
        <v>39.625399999999999</v>
      </c>
      <c r="E79" s="1">
        <v>45016.432859050925</v>
      </c>
      <c r="F79">
        <v>37.878700000000002</v>
      </c>
      <c r="G79">
        <f t="shared" si="3"/>
        <v>39826950</v>
      </c>
      <c r="H79">
        <f t="shared" si="4"/>
        <v>76</v>
      </c>
      <c r="I79">
        <f t="shared" si="5"/>
        <v>-150</v>
      </c>
      <c r="J79">
        <v>37.878700000000002</v>
      </c>
    </row>
    <row r="80" spans="1:10" x14ac:dyDescent="0.2">
      <c r="A80" s="1">
        <v>45016.432870613426</v>
      </c>
      <c r="B80">
        <v>40.028700000000001</v>
      </c>
      <c r="C80" s="1">
        <v>45016.432870613426</v>
      </c>
      <c r="D80">
        <v>39.625500000000002</v>
      </c>
      <c r="E80" s="1">
        <v>45016.432870613426</v>
      </c>
      <c r="F80">
        <v>37.879100000000001</v>
      </c>
      <c r="G80">
        <f t="shared" si="3"/>
        <v>39827100</v>
      </c>
      <c r="H80">
        <f t="shared" si="4"/>
        <v>77</v>
      </c>
      <c r="I80">
        <f t="shared" si="5"/>
        <v>150</v>
      </c>
      <c r="J80">
        <v>37.879100000000001</v>
      </c>
    </row>
    <row r="81" spans="1:10" x14ac:dyDescent="0.2">
      <c r="A81" s="1">
        <v>45016.432882187502</v>
      </c>
      <c r="B81">
        <v>40.028500000000001</v>
      </c>
      <c r="C81" s="1">
        <v>45016.432882187502</v>
      </c>
      <c r="D81">
        <v>39.625399999999999</v>
      </c>
      <c r="E81" s="1">
        <v>45016.432882187502</v>
      </c>
      <c r="F81">
        <v>37.869</v>
      </c>
      <c r="G81">
        <f t="shared" si="3"/>
        <v>39826950</v>
      </c>
      <c r="H81">
        <f t="shared" si="4"/>
        <v>78</v>
      </c>
      <c r="I81">
        <f t="shared" si="5"/>
        <v>-150</v>
      </c>
      <c r="J81">
        <v>37.869</v>
      </c>
    </row>
    <row r="82" spans="1:10" x14ac:dyDescent="0.2">
      <c r="A82" s="1">
        <v>45016.432893761572</v>
      </c>
      <c r="B82">
        <v>40.028599999999997</v>
      </c>
      <c r="C82" s="1">
        <v>45016.432893761572</v>
      </c>
      <c r="D82">
        <v>39.625399999999999</v>
      </c>
      <c r="E82" s="1">
        <v>45016.432893761572</v>
      </c>
      <c r="F82">
        <v>37.885599999999997</v>
      </c>
      <c r="G82">
        <f t="shared" si="3"/>
        <v>39827000</v>
      </c>
      <c r="H82">
        <f t="shared" si="4"/>
        <v>79</v>
      </c>
      <c r="I82">
        <f t="shared" si="5"/>
        <v>50</v>
      </c>
      <c r="J82">
        <v>37.885599999999997</v>
      </c>
    </row>
    <row r="83" spans="1:10" x14ac:dyDescent="0.2">
      <c r="A83" s="1">
        <v>45016.432905347225</v>
      </c>
      <c r="B83">
        <v>40.028599999999997</v>
      </c>
      <c r="C83" s="1">
        <v>45016.432905347225</v>
      </c>
      <c r="D83">
        <v>39.625399999999999</v>
      </c>
      <c r="E83" s="1">
        <v>45016.432905347225</v>
      </c>
      <c r="F83">
        <v>37.864899999999999</v>
      </c>
      <c r="G83">
        <f t="shared" si="3"/>
        <v>39827000</v>
      </c>
      <c r="H83">
        <f t="shared" si="4"/>
        <v>80</v>
      </c>
      <c r="I83">
        <f t="shared" si="5"/>
        <v>0</v>
      </c>
      <c r="J83">
        <v>37.864899999999999</v>
      </c>
    </row>
    <row r="84" spans="1:10" x14ac:dyDescent="0.2">
      <c r="A84" s="1">
        <v>45016.432916909725</v>
      </c>
      <c r="B84">
        <v>40.028500000000001</v>
      </c>
      <c r="C84" s="1">
        <v>45016.432916909725</v>
      </c>
      <c r="D84">
        <v>39.625399999999999</v>
      </c>
      <c r="E84" s="1">
        <v>45016.432916909725</v>
      </c>
      <c r="F84">
        <v>37.883899999999997</v>
      </c>
      <c r="G84">
        <f t="shared" si="3"/>
        <v>39826950</v>
      </c>
      <c r="H84">
        <f t="shared" si="4"/>
        <v>81</v>
      </c>
      <c r="I84">
        <f t="shared" si="5"/>
        <v>-50</v>
      </c>
      <c r="J84">
        <v>37.883899999999997</v>
      </c>
    </row>
    <row r="85" spans="1:10" x14ac:dyDescent="0.2">
      <c r="A85" s="1">
        <v>45016.432928483795</v>
      </c>
      <c r="B85">
        <v>40.028700000000001</v>
      </c>
      <c r="C85" s="1">
        <v>45016.432928483795</v>
      </c>
      <c r="D85">
        <v>39.625500000000002</v>
      </c>
      <c r="E85" s="1">
        <v>45016.432928483795</v>
      </c>
      <c r="F85">
        <v>37.871400000000001</v>
      </c>
      <c r="G85">
        <f t="shared" si="3"/>
        <v>39827100</v>
      </c>
      <c r="H85">
        <f t="shared" si="4"/>
        <v>82</v>
      </c>
      <c r="I85">
        <f t="shared" si="5"/>
        <v>150</v>
      </c>
      <c r="J85">
        <v>37.871400000000001</v>
      </c>
    </row>
    <row r="86" spans="1:10" x14ac:dyDescent="0.2">
      <c r="A86" s="1">
        <v>45016.432940069448</v>
      </c>
      <c r="B86">
        <v>40.028500000000001</v>
      </c>
      <c r="C86" s="1">
        <v>45016.432940069448</v>
      </c>
      <c r="D86">
        <v>39.625399999999999</v>
      </c>
      <c r="E86" s="1">
        <v>45016.432940069448</v>
      </c>
      <c r="F86">
        <v>37.8765</v>
      </c>
      <c r="G86">
        <f t="shared" si="3"/>
        <v>39826950</v>
      </c>
      <c r="H86">
        <f t="shared" si="4"/>
        <v>83</v>
      </c>
      <c r="I86">
        <f t="shared" si="5"/>
        <v>-150</v>
      </c>
      <c r="J86">
        <v>37.8765</v>
      </c>
    </row>
    <row r="87" spans="1:10" x14ac:dyDescent="0.2">
      <c r="A87" s="1">
        <v>45016.432951631941</v>
      </c>
      <c r="B87">
        <v>40.028599999999997</v>
      </c>
      <c r="C87" s="1">
        <v>45016.432951631941</v>
      </c>
      <c r="D87">
        <v>39.625399999999999</v>
      </c>
      <c r="E87" s="1">
        <v>45016.432951631941</v>
      </c>
      <c r="F87">
        <v>37.877200000000002</v>
      </c>
      <c r="G87">
        <f t="shared" si="3"/>
        <v>39827000</v>
      </c>
      <c r="H87">
        <f t="shared" si="4"/>
        <v>84</v>
      </c>
      <c r="I87">
        <f t="shared" si="5"/>
        <v>50</v>
      </c>
      <c r="J87">
        <v>37.877200000000002</v>
      </c>
    </row>
    <row r="88" spans="1:10" x14ac:dyDescent="0.2">
      <c r="A88" s="1">
        <v>45016.432963206018</v>
      </c>
      <c r="B88">
        <v>40.028500000000001</v>
      </c>
      <c r="C88" s="1">
        <v>45016.432963206018</v>
      </c>
      <c r="D88">
        <v>39.625399999999999</v>
      </c>
      <c r="E88" s="1">
        <v>45016.432963206018</v>
      </c>
      <c r="F88">
        <v>37.868699999999997</v>
      </c>
      <c r="G88">
        <f t="shared" si="3"/>
        <v>39826950</v>
      </c>
      <c r="H88">
        <f t="shared" si="4"/>
        <v>85</v>
      </c>
      <c r="I88">
        <f t="shared" si="5"/>
        <v>-50</v>
      </c>
      <c r="J88">
        <v>37.868699999999997</v>
      </c>
    </row>
    <row r="89" spans="1:10" x14ac:dyDescent="0.2">
      <c r="A89" s="1">
        <v>45016.432974791664</v>
      </c>
      <c r="B89">
        <v>40.028599999999997</v>
      </c>
      <c r="C89" s="1">
        <v>45016.432974791664</v>
      </c>
      <c r="D89">
        <v>39.625399999999999</v>
      </c>
      <c r="E89" s="1">
        <v>45016.432974791664</v>
      </c>
      <c r="F89">
        <v>37.883400000000002</v>
      </c>
      <c r="G89">
        <f t="shared" si="3"/>
        <v>39827000</v>
      </c>
      <c r="H89">
        <f t="shared" si="4"/>
        <v>86</v>
      </c>
      <c r="I89">
        <f t="shared" si="5"/>
        <v>50</v>
      </c>
      <c r="J89">
        <v>37.883400000000002</v>
      </c>
    </row>
    <row r="90" spans="1:10" x14ac:dyDescent="0.2">
      <c r="A90" s="1">
        <v>45016.432986354164</v>
      </c>
      <c r="B90">
        <v>40.028599999999997</v>
      </c>
      <c r="C90" s="1">
        <v>45016.432986354164</v>
      </c>
      <c r="D90">
        <v>39.625399999999999</v>
      </c>
      <c r="E90" s="1">
        <v>45016.432986354164</v>
      </c>
      <c r="F90">
        <v>37.864600000000003</v>
      </c>
      <c r="G90">
        <f t="shared" si="3"/>
        <v>39827000</v>
      </c>
      <c r="H90">
        <f t="shared" si="4"/>
        <v>87</v>
      </c>
      <c r="I90">
        <f t="shared" si="5"/>
        <v>0</v>
      </c>
      <c r="J90">
        <v>37.864600000000003</v>
      </c>
    </row>
    <row r="91" spans="1:10" x14ac:dyDescent="0.2">
      <c r="A91" s="1">
        <v>45016.432997928241</v>
      </c>
      <c r="B91">
        <v>40.028599999999997</v>
      </c>
      <c r="C91" s="1">
        <v>45016.432997928241</v>
      </c>
      <c r="D91">
        <v>39.625399999999999</v>
      </c>
      <c r="E91" s="1">
        <v>45016.432997928241</v>
      </c>
      <c r="F91">
        <v>37.883099999999999</v>
      </c>
      <c r="G91">
        <f t="shared" si="3"/>
        <v>39827000</v>
      </c>
      <c r="H91">
        <f t="shared" si="4"/>
        <v>88</v>
      </c>
      <c r="I91">
        <f t="shared" si="5"/>
        <v>0</v>
      </c>
      <c r="J91">
        <v>37.883099999999999</v>
      </c>
    </row>
    <row r="92" spans="1:10" x14ac:dyDescent="0.2">
      <c r="A92" s="1">
        <v>45016.433009502318</v>
      </c>
      <c r="B92">
        <v>40.028599999999997</v>
      </c>
      <c r="C92" s="1">
        <v>45016.433009502318</v>
      </c>
      <c r="D92">
        <v>39.625399999999999</v>
      </c>
      <c r="E92" s="1">
        <v>45016.433009502318</v>
      </c>
      <c r="F92">
        <v>37.868000000000002</v>
      </c>
      <c r="G92">
        <f t="shared" ref="G92:G101" si="6">AVERAGE(B92,D92)*1000000</f>
        <v>39827000</v>
      </c>
      <c r="H92">
        <f t="shared" si="4"/>
        <v>89</v>
      </c>
      <c r="I92">
        <f t="shared" si="5"/>
        <v>0</v>
      </c>
      <c r="J92">
        <v>37.868000000000002</v>
      </c>
    </row>
    <row r="93" spans="1:10" x14ac:dyDescent="0.2">
      <c r="A93" s="1">
        <v>45016.433021087963</v>
      </c>
      <c r="B93">
        <v>40.028599999999997</v>
      </c>
      <c r="C93" s="1">
        <v>45016.433021087963</v>
      </c>
      <c r="D93">
        <v>39.625399999999999</v>
      </c>
      <c r="E93" s="1">
        <v>45016.433021087963</v>
      </c>
      <c r="F93">
        <v>37.876600000000003</v>
      </c>
      <c r="G93">
        <f t="shared" si="6"/>
        <v>39827000</v>
      </c>
      <c r="H93">
        <f t="shared" ref="H93:H101" si="7">H92+1</f>
        <v>90</v>
      </c>
      <c r="I93">
        <f t="shared" ref="I93:I101" si="8">G93-G92</f>
        <v>0</v>
      </c>
      <c r="J93">
        <v>37.876600000000003</v>
      </c>
    </row>
    <row r="94" spans="1:10" x14ac:dyDescent="0.2">
      <c r="A94" s="1">
        <v>45016.43303266204</v>
      </c>
      <c r="B94">
        <v>40.028700000000001</v>
      </c>
      <c r="C94" s="1">
        <v>45016.43303266204</v>
      </c>
      <c r="D94">
        <v>39.625399999999999</v>
      </c>
      <c r="E94" s="1">
        <v>45016.43303266204</v>
      </c>
      <c r="F94">
        <v>37.872999999999998</v>
      </c>
      <c r="G94">
        <f t="shared" si="6"/>
        <v>39827050</v>
      </c>
      <c r="H94">
        <f t="shared" si="7"/>
        <v>91</v>
      </c>
      <c r="I94">
        <f t="shared" si="8"/>
        <v>50</v>
      </c>
      <c r="J94">
        <v>37.872999999999998</v>
      </c>
    </row>
    <row r="95" spans="1:10" x14ac:dyDescent="0.2">
      <c r="A95" s="1">
        <v>45016.433044224534</v>
      </c>
      <c r="B95">
        <v>40.028599999999997</v>
      </c>
      <c r="C95" s="1">
        <v>45016.433044224534</v>
      </c>
      <c r="D95">
        <v>39.625399999999999</v>
      </c>
      <c r="E95" s="1">
        <v>45016.433044224534</v>
      </c>
      <c r="F95">
        <v>37.868000000000002</v>
      </c>
      <c r="G95">
        <f t="shared" si="6"/>
        <v>39827000</v>
      </c>
      <c r="H95">
        <f t="shared" si="7"/>
        <v>92</v>
      </c>
      <c r="I95">
        <f t="shared" si="8"/>
        <v>-50</v>
      </c>
      <c r="J95">
        <v>37.868000000000002</v>
      </c>
    </row>
    <row r="96" spans="1:10" x14ac:dyDescent="0.2">
      <c r="A96" s="1">
        <v>45016.43305579861</v>
      </c>
      <c r="B96">
        <v>40.028599999999997</v>
      </c>
      <c r="C96" s="1">
        <v>45016.43305579861</v>
      </c>
      <c r="D96">
        <v>39.625399999999999</v>
      </c>
      <c r="E96" s="1">
        <v>45016.43305579861</v>
      </c>
      <c r="F96">
        <v>37.880099999999999</v>
      </c>
      <c r="G96">
        <f t="shared" si="6"/>
        <v>39827000</v>
      </c>
      <c r="H96">
        <f t="shared" si="7"/>
        <v>93</v>
      </c>
      <c r="I96">
        <f t="shared" si="8"/>
        <v>0</v>
      </c>
      <c r="J96">
        <v>37.880099999999999</v>
      </c>
    </row>
    <row r="97" spans="1:10" x14ac:dyDescent="0.2">
      <c r="A97" s="1">
        <v>45016.433067372687</v>
      </c>
      <c r="B97">
        <v>40.028599999999997</v>
      </c>
      <c r="C97" s="1">
        <v>45016.433067372687</v>
      </c>
      <c r="D97">
        <v>39.625399999999999</v>
      </c>
      <c r="E97" s="1">
        <v>45016.433067372687</v>
      </c>
      <c r="F97">
        <v>37.863700000000001</v>
      </c>
      <c r="G97">
        <f t="shared" si="6"/>
        <v>39827000</v>
      </c>
      <c r="H97">
        <f t="shared" si="7"/>
        <v>94</v>
      </c>
      <c r="I97">
        <f t="shared" si="8"/>
        <v>0</v>
      </c>
      <c r="J97">
        <v>37.863700000000001</v>
      </c>
    </row>
    <row r="98" spans="1:10" x14ac:dyDescent="0.2">
      <c r="A98" s="1">
        <v>45016.433078946757</v>
      </c>
      <c r="B98">
        <v>40.028599999999997</v>
      </c>
      <c r="C98" s="1">
        <v>45016.433078946757</v>
      </c>
      <c r="D98">
        <v>39.625399999999999</v>
      </c>
      <c r="E98" s="1">
        <v>45016.433078946757</v>
      </c>
      <c r="F98">
        <v>37.881</v>
      </c>
      <c r="G98">
        <f t="shared" si="6"/>
        <v>39827000</v>
      </c>
      <c r="H98">
        <f t="shared" si="7"/>
        <v>95</v>
      </c>
      <c r="I98">
        <f t="shared" si="8"/>
        <v>0</v>
      </c>
      <c r="J98">
        <v>37.881</v>
      </c>
    </row>
    <row r="99" spans="1:10" x14ac:dyDescent="0.2">
      <c r="A99" s="1">
        <v>45016.43309053241</v>
      </c>
      <c r="B99">
        <v>40.028599999999997</v>
      </c>
      <c r="C99" s="1">
        <v>45016.43309053241</v>
      </c>
      <c r="D99">
        <v>39.625399999999999</v>
      </c>
      <c r="E99" s="1">
        <v>45016.43309053241</v>
      </c>
      <c r="F99">
        <v>37.863900000000001</v>
      </c>
      <c r="G99">
        <f t="shared" si="6"/>
        <v>39827000</v>
      </c>
      <c r="H99">
        <f t="shared" si="7"/>
        <v>96</v>
      </c>
      <c r="I99">
        <f t="shared" si="8"/>
        <v>0</v>
      </c>
      <c r="J99">
        <v>37.863900000000001</v>
      </c>
    </row>
    <row r="100" spans="1:10" x14ac:dyDescent="0.2">
      <c r="A100" s="1">
        <v>45016.43310209491</v>
      </c>
      <c r="B100">
        <v>40.028500000000001</v>
      </c>
      <c r="C100" s="1">
        <v>45016.43310209491</v>
      </c>
      <c r="D100">
        <v>39.625399999999999</v>
      </c>
      <c r="E100" s="1">
        <v>45016.43310209491</v>
      </c>
      <c r="F100">
        <v>37.878999999999998</v>
      </c>
      <c r="G100">
        <f t="shared" si="6"/>
        <v>39826950</v>
      </c>
      <c r="H100">
        <f t="shared" si="7"/>
        <v>97</v>
      </c>
      <c r="I100">
        <f t="shared" si="8"/>
        <v>-50</v>
      </c>
      <c r="J100">
        <v>37.878999999999998</v>
      </c>
    </row>
    <row r="101" spans="1:10" x14ac:dyDescent="0.2">
      <c r="A101" s="1">
        <v>45016.43311366898</v>
      </c>
      <c r="B101">
        <v>40.028599999999997</v>
      </c>
      <c r="C101" s="1">
        <v>45016.43311366898</v>
      </c>
      <c r="D101">
        <v>39.625399999999999</v>
      </c>
      <c r="E101" s="1">
        <v>45016.43311366898</v>
      </c>
      <c r="F101">
        <v>37.866399999999999</v>
      </c>
      <c r="G101">
        <f t="shared" si="6"/>
        <v>39827000</v>
      </c>
      <c r="H101">
        <f t="shared" si="7"/>
        <v>98</v>
      </c>
      <c r="I101">
        <f t="shared" si="8"/>
        <v>50</v>
      </c>
      <c r="J101">
        <v>37.866399999999999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Compression (0-38 KN)</vt:lpstr>
      <vt:lpstr>Compression (38 kN)</vt:lpstr>
      <vt:lpstr>Tension (0-38 KN)</vt:lpstr>
      <vt:lpstr>Tension (38 KN)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Lutfi, Mostafa - (mostafalutfi)</dc:creator>
  <cp:lastModifiedBy>Lutfi, Mostafa - (mostafalutfi)</cp:lastModifiedBy>
  <dcterms:created xsi:type="dcterms:W3CDTF">2023-03-31T22:04:09Z</dcterms:created>
  <dcterms:modified xsi:type="dcterms:W3CDTF">2023-04-04T19:56:01Z</dcterms:modified>
</cp:coreProperties>
</file>